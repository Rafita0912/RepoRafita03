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PcAsusZenbookRafita\Downloads\trabajo flujo de caja y pensiones despertad\"/>
    </mc:Choice>
  </mc:AlternateContent>
  <xr:revisionPtr revIDLastSave="0" documentId="8_{0AD304E0-10AD-4D82-8C6F-A7815FAA7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IBO INGRESOS" sheetId="9" r:id="rId1"/>
    <sheet name="FLUJO DE CAJA" sheetId="10" r:id="rId2"/>
    <sheet name="LISTAS" sheetId="11" r:id="rId3"/>
    <sheet name="tarj ANVERSO" sheetId="2" r:id="rId4"/>
    <sheet name="tarj REVERSO" sheetId="3" r:id="rId5"/>
    <sheet name="Códigos" sheetId="1" r:id="rId6"/>
    <sheet name="SUELDOS" sheetId="12" r:id="rId7"/>
    <sheet name="HOJA DE COBRO DEL SEGURO" sheetId="4" r:id="rId8"/>
  </sheets>
  <externalReferences>
    <externalReference r:id="rId9"/>
    <externalReference r:id="rId10"/>
  </externalReferences>
  <definedNames>
    <definedName name="_xlnm._FilterDatabase" localSheetId="5" hidden="1">Códigos!$A$1:$D$226</definedName>
    <definedName name="_xlnm.Print_Area" localSheetId="5">Códigos!$A$2:$D$442</definedName>
    <definedName name="_xlnm.Print_Area" localSheetId="0">'RECIBO INGRESOS'!$A$1:$L$43</definedName>
    <definedName name="_xlnm.Print_Area" localSheetId="6">SUELDOS!#REF!</definedName>
    <definedName name="cursos">'[1]Lista 1ºP - 6ºP'!$BG$3:$BH$20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9" l="1"/>
  <c r="C35" i="9"/>
  <c r="C34" i="9"/>
  <c r="P8" i="9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H112" i="12"/>
  <c r="J112" i="12"/>
  <c r="H111" i="12"/>
  <c r="J111" i="12"/>
  <c r="H110" i="12"/>
  <c r="J110" i="12"/>
  <c r="H109" i="12"/>
  <c r="J109" i="12"/>
  <c r="H108" i="12"/>
  <c r="J108" i="12"/>
  <c r="H107" i="12"/>
  <c r="J107" i="12"/>
  <c r="H106" i="12"/>
  <c r="J106" i="12"/>
  <c r="H105" i="12"/>
  <c r="J105" i="12"/>
  <c r="H104" i="12"/>
  <c r="J104" i="12"/>
  <c r="H103" i="12"/>
  <c r="J103" i="12"/>
  <c r="H102" i="12"/>
  <c r="J102" i="12"/>
  <c r="H101" i="12"/>
  <c r="J101" i="12"/>
  <c r="H100" i="12"/>
  <c r="J100" i="12"/>
  <c r="H99" i="12"/>
  <c r="J99" i="12"/>
  <c r="H98" i="12"/>
  <c r="J98" i="12"/>
  <c r="H97" i="12"/>
  <c r="J97" i="12"/>
  <c r="H96" i="12"/>
  <c r="J96" i="12"/>
  <c r="H95" i="12"/>
  <c r="J95" i="12"/>
  <c r="H94" i="12"/>
  <c r="J94" i="12"/>
  <c r="H93" i="12"/>
  <c r="J93" i="12"/>
  <c r="H92" i="12"/>
  <c r="J92" i="12"/>
  <c r="H91" i="12"/>
  <c r="J91" i="12"/>
  <c r="H90" i="12"/>
  <c r="J90" i="12"/>
  <c r="H89" i="12"/>
  <c r="J89" i="12"/>
  <c r="H88" i="12"/>
  <c r="J88" i="12"/>
  <c r="H87" i="12"/>
  <c r="J87" i="12"/>
  <c r="H86" i="12"/>
  <c r="J86" i="12"/>
  <c r="H85" i="12"/>
  <c r="J85" i="12"/>
  <c r="H84" i="12"/>
  <c r="J84" i="12"/>
  <c r="H83" i="12"/>
  <c r="J83" i="12"/>
  <c r="H82" i="12"/>
  <c r="J82" i="12"/>
  <c r="H81" i="12"/>
  <c r="J81" i="12"/>
  <c r="H80" i="12"/>
  <c r="J80" i="12"/>
  <c r="H79" i="12"/>
  <c r="J79" i="12"/>
  <c r="H78" i="12"/>
  <c r="J78" i="12"/>
  <c r="H77" i="12"/>
  <c r="J77" i="12"/>
  <c r="H76" i="12"/>
  <c r="J76" i="12"/>
  <c r="H75" i="12"/>
  <c r="J75" i="12"/>
  <c r="H74" i="12"/>
  <c r="J74" i="12"/>
  <c r="H73" i="12"/>
  <c r="J73" i="12"/>
  <c r="H72" i="12"/>
  <c r="J72" i="12"/>
  <c r="H71" i="12"/>
  <c r="J71" i="12"/>
  <c r="H70" i="12"/>
  <c r="J70" i="12"/>
  <c r="H69" i="12"/>
  <c r="J69" i="12"/>
  <c r="H68" i="12"/>
  <c r="J68" i="12"/>
  <c r="H67" i="12"/>
  <c r="J67" i="12"/>
  <c r="H66" i="12"/>
  <c r="J66" i="12"/>
  <c r="H65" i="12"/>
  <c r="J65" i="12"/>
  <c r="H64" i="12"/>
  <c r="J64" i="12"/>
  <c r="H63" i="12"/>
  <c r="J63" i="12"/>
  <c r="H62" i="12"/>
  <c r="J62" i="12"/>
  <c r="H61" i="12"/>
  <c r="J61" i="12"/>
  <c r="H60" i="12"/>
  <c r="J60" i="12"/>
  <c r="H59" i="12"/>
  <c r="J59" i="12"/>
  <c r="H58" i="12"/>
  <c r="J58" i="12"/>
  <c r="H57" i="12"/>
  <c r="J57" i="12"/>
  <c r="H56" i="12"/>
  <c r="J56" i="12"/>
  <c r="H55" i="12"/>
  <c r="J55" i="12"/>
  <c r="H54" i="12"/>
  <c r="J54" i="12"/>
  <c r="H53" i="12"/>
  <c r="J53" i="12"/>
  <c r="H52" i="12"/>
  <c r="J52" i="12"/>
  <c r="H51" i="12"/>
  <c r="J51" i="12"/>
  <c r="H50" i="12"/>
  <c r="J50" i="12"/>
  <c r="H49" i="12"/>
  <c r="J49" i="12"/>
  <c r="H48" i="12"/>
  <c r="J48" i="12"/>
  <c r="H47" i="12"/>
  <c r="J47" i="12"/>
  <c r="H46" i="12"/>
  <c r="J46" i="12"/>
  <c r="H45" i="12"/>
  <c r="J45" i="12"/>
  <c r="H44" i="12"/>
  <c r="J44" i="12"/>
  <c r="H43" i="12"/>
  <c r="J43" i="12"/>
  <c r="H42" i="12"/>
  <c r="J42" i="12"/>
  <c r="H41" i="12"/>
  <c r="J41" i="12"/>
  <c r="H40" i="12"/>
  <c r="J40" i="12"/>
  <c r="H39" i="12"/>
  <c r="J39" i="12"/>
  <c r="H38" i="12"/>
  <c r="J38" i="12"/>
  <c r="H37" i="12"/>
  <c r="J37" i="12"/>
  <c r="H36" i="12"/>
  <c r="J36" i="12"/>
  <c r="H35" i="12"/>
  <c r="J35" i="12"/>
  <c r="H34" i="12"/>
  <c r="J34" i="12"/>
  <c r="H33" i="12"/>
  <c r="J33" i="12"/>
  <c r="H32" i="12"/>
  <c r="J32" i="12"/>
  <c r="H31" i="12"/>
  <c r="J31" i="12"/>
  <c r="H30" i="12"/>
  <c r="J30" i="12"/>
  <c r="H29" i="12"/>
  <c r="J29" i="12"/>
  <c r="H28" i="12"/>
  <c r="J28" i="12"/>
  <c r="H27" i="12"/>
  <c r="J27" i="12"/>
  <c r="H26" i="12"/>
  <c r="J26" i="12"/>
  <c r="H25" i="12"/>
  <c r="J25" i="12"/>
  <c r="H24" i="12"/>
  <c r="J24" i="12"/>
  <c r="H23" i="12"/>
  <c r="J23" i="12"/>
  <c r="H22" i="12"/>
  <c r="J22" i="12"/>
  <c r="H21" i="12"/>
  <c r="J21" i="12"/>
  <c r="H20" i="12"/>
  <c r="J20" i="12"/>
  <c r="H19" i="12"/>
  <c r="J19" i="12"/>
  <c r="H18" i="12"/>
  <c r="J18" i="12"/>
  <c r="H17" i="12"/>
  <c r="J17" i="12"/>
  <c r="H16" i="12"/>
  <c r="J16" i="12"/>
  <c r="H15" i="12"/>
  <c r="J15" i="12"/>
  <c r="H14" i="12"/>
  <c r="J14" i="12"/>
  <c r="H13" i="12"/>
  <c r="J13" i="12"/>
  <c r="H12" i="12"/>
  <c r="J12" i="12"/>
  <c r="H11" i="12"/>
  <c r="J11" i="12"/>
  <c r="H10" i="12"/>
  <c r="J10" i="12"/>
  <c r="H9" i="12"/>
  <c r="J9" i="12"/>
  <c r="H8" i="12"/>
  <c r="J8" i="12"/>
  <c r="H7" i="12"/>
  <c r="J7" i="12"/>
  <c r="H6" i="12"/>
  <c r="J6" i="12"/>
  <c r="H5" i="12"/>
  <c r="J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I155" i="12"/>
  <c r="H155" i="12"/>
  <c r="G155" i="12"/>
  <c r="F155" i="12"/>
  <c r="E155" i="12"/>
  <c r="J155" i="12"/>
  <c r="E29" i="9"/>
  <c r="D38" i="9"/>
  <c r="C8" i="9" a="1"/>
  <c r="C8" i="9"/>
  <c r="H2" i="9" a="1"/>
  <c r="H2" i="9"/>
  <c r="H24" i="9"/>
  <c r="C32" i="9"/>
  <c r="C30" i="9"/>
  <c r="C28" i="9"/>
  <c r="E3001" i="10"/>
  <c r="F3001" i="10"/>
  <c r="G3001" i="10"/>
  <c r="E3002" i="10"/>
  <c r="E4" i="2"/>
  <c r="L4" i="2"/>
  <c r="M29" i="2"/>
  <c r="E8" i="2"/>
  <c r="L7" i="2"/>
  <c r="I7" i="2"/>
  <c r="D7" i="2"/>
  <c r="L6" i="2"/>
  <c r="E6" i="2"/>
  <c r="L5" i="2"/>
  <c r="E5" i="2"/>
  <c r="G29" i="2"/>
  <c r="E28" i="2"/>
  <c r="E31" i="2"/>
  <c r="E29" i="2"/>
  <c r="G30" i="2"/>
  <c r="M30" i="2"/>
  <c r="K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B8F05-DBA5-49CF-A84C-B040D93E9337}" keepAlive="1" name="Consulta - Tabla5" description="Conexión a la consulta 'Tabla5' en el libro." type="5" refreshedVersion="0" background="1">
    <dbPr connection="Provider=Microsoft.Mashup.OleDb.1;Data Source=$Workbook$;Location=Tabla5;Extended Properties=&quot;&quot;" command="SELECT * FROM [Tabla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<sst xmlns="http://schemas.openxmlformats.org/spreadsheetml/2006/main" count="4240" uniqueCount="2218">
  <si>
    <t>Cano Herbas Arami Leticia</t>
  </si>
  <si>
    <t>Castro Muriel Rafaela Belen</t>
  </si>
  <si>
    <t>Delgado Saavedra Luciana Amira</t>
  </si>
  <si>
    <t>Diaz Magne Alexia</t>
  </si>
  <si>
    <t>Jalil De La Zerda Jania Thais</t>
  </si>
  <si>
    <t>Lara Lopez Mariana Isabel</t>
  </si>
  <si>
    <t>Ocampo Parrilla Lucas Gabriel</t>
  </si>
  <si>
    <t>Rojas Mora Matias</t>
  </si>
  <si>
    <t>Stewart Torrico Matias Andrew</t>
  </si>
  <si>
    <t>Ugarte Uriona Isabella Fernanda</t>
  </si>
  <si>
    <t>Valdivia Campero Samantha Victoria</t>
  </si>
  <si>
    <t>Vargas Suarez Carolina Nicole</t>
  </si>
  <si>
    <t>Altieri Laserna Florencia</t>
  </si>
  <si>
    <t xml:space="preserve">Barco Antesana Benjamin </t>
  </si>
  <si>
    <t>Becerra Soria Addie Renata</t>
  </si>
  <si>
    <t>Bucci Ojeda Jair</t>
  </si>
  <si>
    <t>Chavez Nogales Andrés</t>
  </si>
  <si>
    <t>Coffiel Zambrana Santiago</t>
  </si>
  <si>
    <t>Ferrel Benitez Andres Mateo</t>
  </si>
  <si>
    <t>Gumucio Caero Anthony Luigi</t>
  </si>
  <si>
    <t>Jaldin Herbas Catalina</t>
  </si>
  <si>
    <t>James Mareño Sebastian</t>
  </si>
  <si>
    <t>Lopez Merida Rafael</t>
  </si>
  <si>
    <t xml:space="preserve">Maertens Oporto Facundo Mateo </t>
  </si>
  <si>
    <t>Seguel Chopitea Rafaela Constanza</t>
  </si>
  <si>
    <t>Solis Rocha Eilyn Valery</t>
  </si>
  <si>
    <t>Vera Vallejo Santiago</t>
  </si>
  <si>
    <t>Zegarra Rojas Mateo</t>
  </si>
  <si>
    <t>2ºA Prim</t>
  </si>
  <si>
    <t>Andia Gonzales Mateo</t>
  </si>
  <si>
    <t>Bengolea Aranibar Florencia Agustina</t>
  </si>
  <si>
    <t>Castro Salcedo Alejandro Mateo</t>
  </si>
  <si>
    <t>Cruz Rojas Janus Fenryz</t>
  </si>
  <si>
    <t>Doering Alvarez Matias</t>
  </si>
  <si>
    <t>Fernandez Rosazza Leonardo Samuel</t>
  </si>
  <si>
    <t>Ferrufino Pereyra Santiago</t>
  </si>
  <si>
    <t>Mercado Rojas Maria Belen</t>
  </si>
  <si>
    <t>Moreira Flores Andres Sebastian</t>
  </si>
  <si>
    <t>Notta Acosta Luciano Andreas</t>
  </si>
  <si>
    <t>Pardo Lopez Alexia Abigail</t>
  </si>
  <si>
    <t>Sejas Campos Zulma Isabela</t>
  </si>
  <si>
    <t>Soliz Escobar Andre Ignacio</t>
  </si>
  <si>
    <t>Vargas Magne Requez Zoe</t>
  </si>
  <si>
    <t>2ºB Prim</t>
  </si>
  <si>
    <t>Bustillo Flores Sofia Victoria</t>
  </si>
  <si>
    <t>Caballero Carrasco Sofia Camila</t>
  </si>
  <si>
    <t>Camacho Reyes Alejandra Noemi</t>
  </si>
  <si>
    <t>Da Silva Monteiro Gustavo Alex</t>
  </si>
  <si>
    <t>Galindo Puña Sara</t>
  </si>
  <si>
    <t xml:space="preserve">Garcia Jimenez Daniel </t>
  </si>
  <si>
    <t>Mayorga Fernandez Celeste</t>
  </si>
  <si>
    <t>Patiño Vargas Christopher Dylan</t>
  </si>
  <si>
    <t>Quiroga Arze Andres Salvador</t>
  </si>
  <si>
    <t>3ºA Prim</t>
  </si>
  <si>
    <t>Cordova Morales Leonardo</t>
  </si>
  <si>
    <t>Larrazabal Mateo Antonio</t>
  </si>
  <si>
    <t>Ocampo Parrilla Nicolas Daniel</t>
  </si>
  <si>
    <t>Quiroga Siles Alejandra Viviana</t>
  </si>
  <si>
    <t>3ºB Prim</t>
  </si>
  <si>
    <t>Ayala Gonzales Diana Victoria</t>
  </si>
  <si>
    <t>Bonuccelli Fernandez Nicolas Rafael</t>
  </si>
  <si>
    <t>Camacho Pando Marcos Octavio</t>
  </si>
  <si>
    <t xml:space="preserve">Flores Estefany Tamara </t>
  </si>
  <si>
    <t>Mercado Quiroga Rodrigo David</t>
  </si>
  <si>
    <t xml:space="preserve">Rojas Landivar Franco </t>
  </si>
  <si>
    <t>Sandoval Guzman Ignacio</t>
  </si>
  <si>
    <t>Terrazas Daza Diego</t>
  </si>
  <si>
    <t>4ºA Prim</t>
  </si>
  <si>
    <t>Heredia Santivañez Kassandra Veronica</t>
  </si>
  <si>
    <t>Muriel Oroza Agustina Gabriela</t>
  </si>
  <si>
    <t>Sarmiento Romero Fabrizio Alfredo</t>
  </si>
  <si>
    <t>4ºB Prim</t>
  </si>
  <si>
    <t>Colque Sanchez Anderson German</t>
  </si>
  <si>
    <t>Fuentes Mano Matias</t>
  </si>
  <si>
    <t>Herrera Arduz Lucia Valentina</t>
  </si>
  <si>
    <t>Mariño García Esteban</t>
  </si>
  <si>
    <t>Arnez Vallejo Mariana</t>
  </si>
  <si>
    <t xml:space="preserve">Duarte Numbela Iker Dadier </t>
  </si>
  <si>
    <t>5ºB Prim</t>
  </si>
  <si>
    <t>Aldunate Santi Luciana Thais</t>
  </si>
  <si>
    <t>Ayo Fernandez Diego Gabriel</t>
  </si>
  <si>
    <t>Gallo Hoyos Cecilia Daniela</t>
  </si>
  <si>
    <t>Garfias Candia Rebeca Victoria</t>
  </si>
  <si>
    <t>Guillen Ortega Mireya Belen</t>
  </si>
  <si>
    <t>Pavisic Salinas Andre</t>
  </si>
  <si>
    <t>6ºA Prim</t>
  </si>
  <si>
    <t>Arispe Salaverry Andre Daniel</t>
  </si>
  <si>
    <t xml:space="preserve">Fernandez Orellana Florencia </t>
  </si>
  <si>
    <t>Garcia Zambrana Stefany</t>
  </si>
  <si>
    <t>Pardo Bernal Alejandra</t>
  </si>
  <si>
    <t>Vargas Caussin Dilmar Sebastian</t>
  </si>
  <si>
    <t>Zurita Antequera Jose Santiago</t>
  </si>
  <si>
    <t>6ºB Prim</t>
  </si>
  <si>
    <t>Apaza Ucharico Micaela Araceli</t>
  </si>
  <si>
    <t>Arnez Vergara Rodrigo Hernan</t>
  </si>
  <si>
    <t>Garcia Mendoza Leonardo Sebastian</t>
  </si>
  <si>
    <t xml:space="preserve">Lara Parrilla Mauricio Mateo </t>
  </si>
  <si>
    <t>Machado Mendoza Gabriela</t>
  </si>
  <si>
    <t>Carreon Villagomez Angel Albert</t>
  </si>
  <si>
    <t>Gomez Rocabado Teresa</t>
  </si>
  <si>
    <t>Manicone Soto Isabella Ariana</t>
  </si>
  <si>
    <t>Martoni Ugalde Francisca</t>
  </si>
  <si>
    <t>Pavisic Salinas Sofia</t>
  </si>
  <si>
    <t>Perez Vallejos Mateo</t>
  </si>
  <si>
    <t>Vera Patton Sofia Camila</t>
  </si>
  <si>
    <t>2º Sec</t>
  </si>
  <si>
    <t>Anzoleaga Nicolas</t>
  </si>
  <si>
    <t>Cruz Bolivar Dennis Andres</t>
  </si>
  <si>
    <t>3º Sec</t>
  </si>
  <si>
    <t>Aviles Coll Avril Janelle</t>
  </si>
  <si>
    <t xml:space="preserve">Bottega Leonardo Mateo </t>
  </si>
  <si>
    <t>Carrasco Gamez Stephanie Fabiola</t>
  </si>
  <si>
    <t>Illanes Alarcon Danilo</t>
  </si>
  <si>
    <t>Macuchapi Condori Fabian</t>
  </si>
  <si>
    <t xml:space="preserve">Paniagua Terzo Luis Eduardo </t>
  </si>
  <si>
    <t>Polo Galindo Andres</t>
  </si>
  <si>
    <t>4º Sec</t>
  </si>
  <si>
    <t>Arze Liu Isabella</t>
  </si>
  <si>
    <t>Beltran Camacho Thais Noelia</t>
  </si>
  <si>
    <t>Herrera Herrera Katherine Melodi</t>
  </si>
  <si>
    <t>Kotoriy Zambrana Alexia Aiko</t>
  </si>
  <si>
    <t>Requena Tezanos Pinto Walter Rafael</t>
  </si>
  <si>
    <t>Rodriguez Solares Ana Carolina</t>
  </si>
  <si>
    <t>Toranzo Ramallo Stephen Joseph</t>
  </si>
  <si>
    <t>Zegarra Cardozo Ignacio</t>
  </si>
  <si>
    <t>5º Sec</t>
  </si>
  <si>
    <t>Aldunate Eterovic Cristian</t>
  </si>
  <si>
    <t>Rodriguez Siñani Luis Miguel</t>
  </si>
  <si>
    <t>Vlahovic Galetovic Krista More</t>
  </si>
  <si>
    <t>Yovhio Osuna Cristhian</t>
  </si>
  <si>
    <t>6º Sec</t>
  </si>
  <si>
    <t>CODIGO</t>
  </si>
  <si>
    <t>CURSO</t>
  </si>
  <si>
    <t>NOMBRE DE MAMA O PAPA</t>
  </si>
  <si>
    <t>NOMBRE PARA LA FACTURA</t>
  </si>
  <si>
    <t>NIT</t>
  </si>
  <si>
    <t>HERMANOS</t>
  </si>
  <si>
    <t>PENSION</t>
  </si>
  <si>
    <t>TELEFONO</t>
  </si>
  <si>
    <t>NOMBRE DEL ESTUDIANTE</t>
  </si>
  <si>
    <t>FECHA DE INSCRIPCION</t>
  </si>
  <si>
    <t>Nombre para la factura :</t>
  </si>
  <si>
    <t>Nombre del estudiante :</t>
  </si>
  <si>
    <t>Nivel :</t>
  </si>
  <si>
    <t>Curso(s) :</t>
  </si>
  <si>
    <t>Pension mensual :</t>
  </si>
  <si>
    <t xml:space="preserve">Primera Cuota - Feb </t>
  </si>
  <si>
    <t>Firma P.</t>
  </si>
  <si>
    <t>Segunda Cuota - Mar</t>
  </si>
  <si>
    <t>Tercera Cuota - Abril</t>
  </si>
  <si>
    <t>Cuarta Cuota - Mayo</t>
  </si>
  <si>
    <t>Quinta Cuota - Junio</t>
  </si>
  <si>
    <t>Rbo...….……Fact………..</t>
  </si>
  <si>
    <t>NIT o CI:</t>
  </si>
  <si>
    <t>Codigo del estudiante :</t>
  </si>
  <si>
    <t>NIVEL</t>
  </si>
  <si>
    <t>PRIMARIA</t>
  </si>
  <si>
    <t>SECUNDARIA</t>
  </si>
  <si>
    <t>_______________________</t>
  </si>
  <si>
    <t>Bs. …………………..</t>
  </si>
  <si>
    <t>Sexta Cuota - Julio</t>
  </si>
  <si>
    <t>Septima Cuota - Agosto</t>
  </si>
  <si>
    <t>Octava Cuota - Sept.</t>
  </si>
  <si>
    <t>Novena Cuota - Octubre</t>
  </si>
  <si>
    <t>Decima Cuota - Noviem.</t>
  </si>
  <si>
    <t>Telefono - Celular</t>
  </si>
  <si>
    <t>CONTROL DE PROGRAMA EXTENSIVO DE INGLES Y PROGRAMA</t>
  </si>
  <si>
    <t>CURSOS</t>
  </si>
  <si>
    <t>FECHA</t>
  </si>
  <si>
    <t>FEBRERO</t>
  </si>
  <si>
    <t>MARZO</t>
  </si>
  <si>
    <t>ABRIL</t>
  </si>
  <si>
    <t>MAYO</t>
  </si>
  <si>
    <t>JUNIO</t>
  </si>
  <si>
    <t>Rcbo.</t>
  </si>
  <si>
    <t>Bs.</t>
  </si>
  <si>
    <t>Inicio de clases</t>
  </si>
  <si>
    <t>Varios</t>
  </si>
  <si>
    <t>ALEMAN</t>
  </si>
  <si>
    <t>REP. MAT. MONTESSORI</t>
  </si>
  <si>
    <t>JULIO</t>
  </si>
  <si>
    <t>AGOSTO</t>
  </si>
  <si>
    <t>SEPTIEMBRE</t>
  </si>
  <si>
    <t>OCTUBRE</t>
  </si>
  <si>
    <t>NOVIEMBRE</t>
  </si>
  <si>
    <t>PENSION KADI</t>
  </si>
  <si>
    <t>VARIOS 1</t>
  </si>
  <si>
    <t>VARIOS 2</t>
  </si>
  <si>
    <t>Fecha de inscripción :</t>
  </si>
  <si>
    <t>Nombre de Mamá o Papá :</t>
  </si>
  <si>
    <t>No. Hermanos(as) :</t>
  </si>
  <si>
    <t>No. Hnos(as) :</t>
  </si>
  <si>
    <t>Monto mensual Prog Extensivo Ingles/Montessori :</t>
  </si>
  <si>
    <t>Angulo Cespedes Letizia - Daniel - Alejandra</t>
  </si>
  <si>
    <t>SILVANA - DOUGLAS</t>
  </si>
  <si>
    <t>SARA - JORGE</t>
  </si>
  <si>
    <t>76921721m/71407186p/4414387</t>
  </si>
  <si>
    <t>CHOPITEA</t>
  </si>
  <si>
    <t>Quiroz Alvarez Lidia Natalia</t>
  </si>
  <si>
    <t>KARINA - MARIO</t>
  </si>
  <si>
    <t>77448895m/76480777p</t>
  </si>
  <si>
    <t>Inicial 2</t>
  </si>
  <si>
    <t>Quiroga Bazoalto Luciama Daniela</t>
  </si>
  <si>
    <t xml:space="preserve">Numbela Saavedra Agustín - Rafael </t>
  </si>
  <si>
    <t>PATRICIA - MARCELO</t>
  </si>
  <si>
    <t>NUMBELA</t>
  </si>
  <si>
    <t>M. RENEE - RONALD</t>
  </si>
  <si>
    <t>RONALD ARNEZ</t>
  </si>
  <si>
    <t>70384338m/75495723p/4715673c</t>
  </si>
  <si>
    <t>Flores Cruz Ariana Valentina</t>
  </si>
  <si>
    <t>EVELYN - CRISTHIAN</t>
  </si>
  <si>
    <t>INICIAL</t>
  </si>
  <si>
    <t>1º - 4º Prim</t>
  </si>
  <si>
    <t>Garcia Marañon Nicolas Orlando Rafael Hernan</t>
  </si>
  <si>
    <t xml:space="preserve">MIRIAM - RAFAEL </t>
  </si>
  <si>
    <t>70343437m/69919023p</t>
  </si>
  <si>
    <t>Inicial 1</t>
  </si>
  <si>
    <t>Mendoza Villarroel Sofia</t>
  </si>
  <si>
    <t>MONICA - LUIS FERNANDO</t>
  </si>
  <si>
    <t>70387717m/70771364p/4459934c</t>
  </si>
  <si>
    <t>Teran Galarza Ernesto</t>
  </si>
  <si>
    <t>ANTONIETA - ALVARO</t>
  </si>
  <si>
    <t xml:space="preserve">Perez Suarez Victoria - Mariana - Luciana </t>
  </si>
  <si>
    <t>JASEL - SAUL</t>
  </si>
  <si>
    <t>70779841m/70710720p/4549305c</t>
  </si>
  <si>
    <t>SAUL PEREZ</t>
  </si>
  <si>
    <t>Moreno Paola Graciela - Daniel German</t>
  </si>
  <si>
    <t>76906077m/4259784c</t>
  </si>
  <si>
    <t>KATIHUSKA - RAMON</t>
  </si>
  <si>
    <t>79950455m/4553882c/4229707Trab</t>
  </si>
  <si>
    <t>LOURDES - OMAR</t>
  </si>
  <si>
    <t>OMAR VALDIVIA</t>
  </si>
  <si>
    <t>79961993m/72264950p/4504424c</t>
  </si>
  <si>
    <t>Segurola Camacho Lucia Rebeca</t>
  </si>
  <si>
    <t>ANENKA - LUIS FERNANDO</t>
  </si>
  <si>
    <t>79795710m/72227288p</t>
  </si>
  <si>
    <t>LISE - JULIO</t>
  </si>
  <si>
    <t>70736468m/70760900p</t>
  </si>
  <si>
    <t>LISE MURIEL</t>
  </si>
  <si>
    <t>Betti Goitia Isis</t>
  </si>
  <si>
    <t>ANA CECILIA - MATHIAS</t>
  </si>
  <si>
    <t>72252752m/72719292p</t>
  </si>
  <si>
    <t>CARLA - RODRIGO</t>
  </si>
  <si>
    <t>70180502m/70164575p/4792779c</t>
  </si>
  <si>
    <t>LLANOVARCED</t>
  </si>
  <si>
    <t>Cuellar Alcocer Samanta - Rebeca Jael</t>
  </si>
  <si>
    <t>MAT - PRIM</t>
  </si>
  <si>
    <t>Siles Yampa Ariana Valeria</t>
  </si>
  <si>
    <t>LILIAN - WILBER</t>
  </si>
  <si>
    <t>71726571m/75981001p</t>
  </si>
  <si>
    <t>Jaimes Paredes Ana Valentina</t>
  </si>
  <si>
    <t>ANA MARIA</t>
  </si>
  <si>
    <t>´</t>
  </si>
  <si>
    <t>ELVA</t>
  </si>
  <si>
    <t>77977893m</t>
  </si>
  <si>
    <t>Loma Ocampo Matias Santiago</t>
  </si>
  <si>
    <t>MARCELA - MILTON</t>
  </si>
  <si>
    <t>OCAMPO</t>
  </si>
  <si>
    <t>Fernandez Zamora Mateo Daniel</t>
  </si>
  <si>
    <t>E. DANIELA - MIGUEL</t>
  </si>
  <si>
    <t>72279717m/71735123p/4423980c</t>
  </si>
  <si>
    <t>M. ELENA - OSCAR</t>
  </si>
  <si>
    <t>70393643m/77483202p</t>
  </si>
  <si>
    <t>Borda Rojas Victoria Micaela - Oscar Mateo</t>
  </si>
  <si>
    <t>ADRIANA - LUIS DANIEL</t>
  </si>
  <si>
    <t>FLORES</t>
  </si>
  <si>
    <t>71721826m/70132204p</t>
  </si>
  <si>
    <t>VANIA - JAVIER</t>
  </si>
  <si>
    <t>70107000m/79792627p/4421398c</t>
  </si>
  <si>
    <t>Lujan Quiroga Matias</t>
  </si>
  <si>
    <t>SHARI - JUAN CARLOS</t>
  </si>
  <si>
    <t>LUJAN</t>
  </si>
  <si>
    <t>77918732m/77918724p/4666485c</t>
  </si>
  <si>
    <t>CARLA - ANDRES</t>
  </si>
  <si>
    <t>78309460m/77400202p/4249362c</t>
  </si>
  <si>
    <t>CARLA FERNANDEZ</t>
  </si>
  <si>
    <t>Perez Rocabado Jorge Adrian Andre Sebastian</t>
  </si>
  <si>
    <t>SUSANA - ERICK</t>
  </si>
  <si>
    <t>72280804m/72295941p/4711922c</t>
  </si>
  <si>
    <t>2(807)</t>
  </si>
  <si>
    <t>PRIM - SEC</t>
  </si>
  <si>
    <t>Cladera Veizaga Iker</t>
  </si>
  <si>
    <t>CAROLA - PABLO</t>
  </si>
  <si>
    <t>79385532m/70731499p/4019567c</t>
  </si>
  <si>
    <t>SHIRLEY - GILMAR</t>
  </si>
  <si>
    <t>ROJAS</t>
  </si>
  <si>
    <t>Suarez Prudencio Rafaela</t>
  </si>
  <si>
    <t>I. CECILIA - ANTONIO</t>
  </si>
  <si>
    <t>77990277m/77417055p/4528292c</t>
  </si>
  <si>
    <t>FABIOLA - ROBERTO</t>
  </si>
  <si>
    <t>CARLA - FREDDY</t>
  </si>
  <si>
    <t>Torrico Vidaurre Fabio Leonardo</t>
  </si>
  <si>
    <t>PABLO TORRICO</t>
  </si>
  <si>
    <t>70772583m/71724517p/4425168c</t>
  </si>
  <si>
    <t>Vega Florero Thiago Adrian</t>
  </si>
  <si>
    <t>FABIOLA - WILSON</t>
  </si>
  <si>
    <t>FLORERO</t>
  </si>
  <si>
    <t>DENISE - OMAR</t>
  </si>
  <si>
    <t>77441739m/79703507p/4487311c</t>
  </si>
  <si>
    <t>FRIDA - MARCO ANTONIO</t>
  </si>
  <si>
    <t>70708888m/70374000p/4790342c</t>
  </si>
  <si>
    <t>CANDIA</t>
  </si>
  <si>
    <t>Deheza Valdez Jorge Ignacio</t>
  </si>
  <si>
    <t>ALEJANDRA - JUAN PABLO</t>
  </si>
  <si>
    <t>ALEJANDRA VALDEZ</t>
  </si>
  <si>
    <t>60727203m/77495090p</t>
  </si>
  <si>
    <t>Mendoza Pereira Simoné Rafaella</t>
  </si>
  <si>
    <t>SILVIA - RODRIGO</t>
  </si>
  <si>
    <t>MENDOZA</t>
  </si>
  <si>
    <t>70741838m/70341323p</t>
  </si>
  <si>
    <t>Espinoza Velasquez Laia - Alía</t>
  </si>
  <si>
    <t>ALICIA - JUAN</t>
  </si>
  <si>
    <t>72712409m/67402074p/4248922c</t>
  </si>
  <si>
    <t>I2 - 3ºp</t>
  </si>
  <si>
    <t>Antezana Torrez Maite Valentina - Matias Andre</t>
  </si>
  <si>
    <t>MARIA - MIGUEL</t>
  </si>
  <si>
    <t>70342380m/70725450p/4549901c</t>
  </si>
  <si>
    <t>3º Prim</t>
  </si>
  <si>
    <t>Espinoza Muñoz Ruben Sebastian</t>
  </si>
  <si>
    <t>CLAUDIA</t>
  </si>
  <si>
    <t>MUÑOZ</t>
  </si>
  <si>
    <t>79777999m/4241973c</t>
  </si>
  <si>
    <t>ANTONELLA - DIEGO</t>
  </si>
  <si>
    <t>72274742m/72200781p/4241766c</t>
  </si>
  <si>
    <t>CARLA - HENRIQUE</t>
  </si>
  <si>
    <t>Justiniano López Diago Remberto</t>
  </si>
  <si>
    <t>ROXANA - DIEGO</t>
  </si>
  <si>
    <t>72224614m/72785187p</t>
  </si>
  <si>
    <t>2º Prim</t>
  </si>
  <si>
    <t>Uribe Incata Alejandra Judith</t>
  </si>
  <si>
    <t>EMMA - JUAN DE DIOS</t>
  </si>
  <si>
    <t>75489242m/77444080p/4448096c</t>
  </si>
  <si>
    <t>URIBE</t>
  </si>
  <si>
    <t>ISABEL - SERGIO</t>
  </si>
  <si>
    <t>78610078m/77159511p/4368107</t>
  </si>
  <si>
    <t>SERGIO DOERING</t>
  </si>
  <si>
    <t>Saavedra Alvarez Diego - Valeria</t>
  </si>
  <si>
    <t>ALICIA - RODOLFO</t>
  </si>
  <si>
    <t>SAAVEDRA</t>
  </si>
  <si>
    <t>72256780m/67407724p/4222640c</t>
  </si>
  <si>
    <t>1º Prim</t>
  </si>
  <si>
    <t>Rocha Pinto Mateo Mauricio</t>
  </si>
  <si>
    <t>70428624m/60405515p</t>
  </si>
  <si>
    <t>KYMBERLY - JOSE LUIS</t>
  </si>
  <si>
    <t>69437573m/76411412p</t>
  </si>
  <si>
    <t>Hernandez Sanjinez Estefania Belen</t>
  </si>
  <si>
    <t>GABRIELA - CARLOS</t>
  </si>
  <si>
    <t>ORDOÑEZ</t>
  </si>
  <si>
    <t>67458071m/68534525p/4288156c</t>
  </si>
  <si>
    <t xml:space="preserve">Ferreira Ordoñez David </t>
  </si>
  <si>
    <t>JOANNE - WINDSOR</t>
  </si>
  <si>
    <t>76911220m/67400868p/4511693c</t>
  </si>
  <si>
    <t xml:space="preserve">GIOVANNA - AUSBERTO </t>
  </si>
  <si>
    <t>75482049m/70392786p/4440635c</t>
  </si>
  <si>
    <t>Sánchez Saavedra Alexia Sofia</t>
  </si>
  <si>
    <t>ROBERTO SANCHEZ</t>
  </si>
  <si>
    <t>López Marcus Matias Roberto - Anabella</t>
  </si>
  <si>
    <t>SUSANA - ROBERTO</t>
  </si>
  <si>
    <t>71407303m/75967267p/4482432c</t>
  </si>
  <si>
    <t>Mora Illanes Dylan Jessen</t>
  </si>
  <si>
    <t>ABISH - RONALD</t>
  </si>
  <si>
    <t>70349905m/75483256p/4448261c</t>
  </si>
  <si>
    <t>Condori Huanca Natalia</t>
  </si>
  <si>
    <t>ELY - NACHO</t>
  </si>
  <si>
    <t>Maternal</t>
  </si>
  <si>
    <t>Soto Lopez Jose Vicente</t>
  </si>
  <si>
    <t>ISABEL - ANDRES</t>
  </si>
  <si>
    <t>70775600m/70350430p/4794092c</t>
  </si>
  <si>
    <t>MATERNAL</t>
  </si>
  <si>
    <t>Crespo Choque Nadia Isabella</t>
  </si>
  <si>
    <t>ALEJANDRA - REMY</t>
  </si>
  <si>
    <t>77927741m</t>
  </si>
  <si>
    <t>NORA - JORGE ANTONIO</t>
  </si>
  <si>
    <t>MONICA - RIGO</t>
  </si>
  <si>
    <t>76475888m/76475999p/4243633c</t>
  </si>
  <si>
    <t>INI - PRIM</t>
  </si>
  <si>
    <t>Pardo Lopez Benjamin - Joaquin</t>
  </si>
  <si>
    <t>Bonadona Sanchez José Manuel</t>
  </si>
  <si>
    <t>ROCIO - ADOLFO</t>
  </si>
  <si>
    <t>76403182m/72200403p/4281798c</t>
  </si>
  <si>
    <t>3º - 5º Prim</t>
  </si>
  <si>
    <t>Almanza Orihuela Carlos Gabriel - Camila Gabriela</t>
  </si>
  <si>
    <t>72768653m/68581473p/4247151c</t>
  </si>
  <si>
    <t>DANIELA - DANIEL</t>
  </si>
  <si>
    <t>Montes Fernandez Lucas Dario</t>
  </si>
  <si>
    <t>MELANIA - CESAR</t>
  </si>
  <si>
    <t>Coca Colque Leonardo David</t>
  </si>
  <si>
    <t>SUSANA - GONZALO</t>
  </si>
  <si>
    <t>72211056m/71189108p</t>
  </si>
  <si>
    <t>Galvez Cruz Josué Rodrigo</t>
  </si>
  <si>
    <t>SOFIA - RICHAR</t>
  </si>
  <si>
    <t>67515974m/67562998p</t>
  </si>
  <si>
    <t>4ºp - 2ºs</t>
  </si>
  <si>
    <t>Paniagua Torrico Isabel - Andrés</t>
  </si>
  <si>
    <t>ANDRES PANIAGUA</t>
  </si>
  <si>
    <t>70781618m/70778008p/4481743c</t>
  </si>
  <si>
    <t>Galindo Valencia Lucia - Andrés - Santiago</t>
  </si>
  <si>
    <t>SILVIA - JUAN PABLO</t>
  </si>
  <si>
    <t>SILVIA VALENCIA</t>
  </si>
  <si>
    <t>77426445m/70788101p/4473221c</t>
  </si>
  <si>
    <t>Isrrael Mercado Daniela - Lesem</t>
  </si>
  <si>
    <t>SILVIA - GABRIEL</t>
  </si>
  <si>
    <t>GABRIEL ISRRAEL</t>
  </si>
  <si>
    <t>70713218m/70713217p/4501735c</t>
  </si>
  <si>
    <t>Beltran Avila Danna Sofia</t>
  </si>
  <si>
    <t>Choque Lopez Urias Joaquin - Jonan Nacor</t>
  </si>
  <si>
    <t>ANEL - WALDO</t>
  </si>
  <si>
    <t>77922227m/77922422p</t>
  </si>
  <si>
    <t>4ºp - 1ºs</t>
  </si>
  <si>
    <t>Lopez Suxo Tarsila - Caué</t>
  </si>
  <si>
    <t>PATRICIA - RAFAEL</t>
  </si>
  <si>
    <t>68524196m/71404985p/4244837c</t>
  </si>
  <si>
    <t>ERIKA - JACKSON</t>
  </si>
  <si>
    <t>72222668m/72200416p/4411557c</t>
  </si>
  <si>
    <t>Bautista Jaramillo Rodrigo Enrique - Camila Antonette</t>
  </si>
  <si>
    <t>ESTELA - ENRIQUE</t>
  </si>
  <si>
    <t>ENRIQUE BAUTISTA</t>
  </si>
  <si>
    <t>2(357)</t>
  </si>
  <si>
    <t>76401066m/76401269p/67479267o</t>
  </si>
  <si>
    <t>Fernandez Vargas Sofia Valentina</t>
  </si>
  <si>
    <t>VANIA - SAUL</t>
  </si>
  <si>
    <t>72225824m/78229445p</t>
  </si>
  <si>
    <t>Iturri Flores Stefano</t>
  </si>
  <si>
    <t>CLAUDIA - MARCO ANTONIO</t>
  </si>
  <si>
    <t>Spies Hawkins Patterson-Poppy-Daisy-Lily</t>
  </si>
  <si>
    <t>KATE - NATHAN</t>
  </si>
  <si>
    <t>NATHAN JOHN SPIES</t>
  </si>
  <si>
    <t>78360662m/76477412p</t>
  </si>
  <si>
    <t>Calderon Callisaya Emma A. - Fabio E.</t>
  </si>
  <si>
    <t>HEIDY - CARLO</t>
  </si>
  <si>
    <t>CALDERON</t>
  </si>
  <si>
    <t>72712093m/79992460p/4121974c</t>
  </si>
  <si>
    <t>3º - 4º Sec</t>
  </si>
  <si>
    <t>Cossio Llave Santiago - Mariana</t>
  </si>
  <si>
    <t>CELINA - VLADIMIR</t>
  </si>
  <si>
    <t>VLADIMIR COSSIO</t>
  </si>
  <si>
    <t>76450116m/77961894p/77998762t</t>
  </si>
  <si>
    <t>2(193)</t>
  </si>
  <si>
    <t>LUZ</t>
  </si>
  <si>
    <t>79785001m</t>
  </si>
  <si>
    <t>HEIDI - ANGELO</t>
  </si>
  <si>
    <t>ARANIBAR</t>
  </si>
  <si>
    <t>70799389m/76483535p/4289355p</t>
  </si>
  <si>
    <t>Rioja Garcia Alison Massiel</t>
  </si>
  <si>
    <t>JUSTINA GARCIA</t>
  </si>
  <si>
    <t>72740069m/77934368p/4588150c</t>
  </si>
  <si>
    <t>Vargas Koller Santiago Alfonso</t>
  </si>
  <si>
    <t>ANA FRANCIS - ALFONSO</t>
  </si>
  <si>
    <t>KOLLER</t>
  </si>
  <si>
    <t>79798370m/76416790p/4415809c</t>
  </si>
  <si>
    <t>70732517m/70712451p/4477695c</t>
  </si>
  <si>
    <t>Rodriguez Shütt Santiago - Martina</t>
  </si>
  <si>
    <t>HEIDI - MARCELO</t>
  </si>
  <si>
    <t>71766622m/76906714p/4667948c</t>
  </si>
  <si>
    <t>4º Prim</t>
  </si>
  <si>
    <t>Quiroga Guerra Shanna Keyla</t>
  </si>
  <si>
    <t>KAREN - ABDEL</t>
  </si>
  <si>
    <t>75918618m/76434601p/4443795c</t>
  </si>
  <si>
    <t>6º Prim</t>
  </si>
  <si>
    <t>Caero Bermudez Nicolas</t>
  </si>
  <si>
    <t>ERIKA - ARIEL</t>
  </si>
  <si>
    <t>CAERO</t>
  </si>
  <si>
    <t>70350264m/70350156p/4669283c</t>
  </si>
  <si>
    <t>Vacaflores Romero Ignacio - Ian Nicolas</t>
  </si>
  <si>
    <t>JACQUELINE - IGOR</t>
  </si>
  <si>
    <t>79344111m/70744344p/4459574c</t>
  </si>
  <si>
    <t>Lopez Andrew Manuel - Gabriel - Maria Jose</t>
  </si>
  <si>
    <t>CAROLINA - SERGIO</t>
  </si>
  <si>
    <t>CAROLINA ANDREW</t>
  </si>
  <si>
    <t>70750767m/65342993p/4710387p</t>
  </si>
  <si>
    <t>Salinas Suarez Jared Eliud - Jabes Duncan</t>
  </si>
  <si>
    <t>CLAUDIA - OSVALDO</t>
  </si>
  <si>
    <t>67506640m/68810694p</t>
  </si>
  <si>
    <t>Zambrana La Fuente Mateo - Camila</t>
  </si>
  <si>
    <t>ANA CLAUDIA - CHRISTIAN</t>
  </si>
  <si>
    <t>77903900m/75953023p/4460491c</t>
  </si>
  <si>
    <t>Rodriguez Barrionuevo Alan - Paola</t>
  </si>
  <si>
    <t>NAIR - GONZALO</t>
  </si>
  <si>
    <t>NAIR BARRIONUEVO</t>
  </si>
  <si>
    <t>72221919m/71735686p/4311670</t>
  </si>
  <si>
    <t>Ramallo Caero Romina - Melani Micaela</t>
  </si>
  <si>
    <t>KARINA - WEIMAR</t>
  </si>
  <si>
    <t>60700414m/70350419p</t>
  </si>
  <si>
    <t>INI - SEC</t>
  </si>
  <si>
    <t>Olmos Delgadillo Ignacio Alejandro</t>
  </si>
  <si>
    <t>RINA - ALEJANDRO</t>
  </si>
  <si>
    <t>VERONICA - OSCAR</t>
  </si>
  <si>
    <t>72740015m/60742006p</t>
  </si>
  <si>
    <t>1º - 6º Prim</t>
  </si>
  <si>
    <t>Murillo Frontanilla Luciano Eduardo - Matias Esteban</t>
  </si>
  <si>
    <t>ANA - ESTEBAN</t>
  </si>
  <si>
    <t>70784048m/70747329p/4511386c</t>
  </si>
  <si>
    <t>4º - 6º Prim</t>
  </si>
  <si>
    <t>Oddo Elena Isabel - Sofia Estefany</t>
  </si>
  <si>
    <t>ANGELA - MARIO</t>
  </si>
  <si>
    <t>74314452m/76935991p/4793993c</t>
  </si>
  <si>
    <t>Irigoyen Llosa Lila Raquel - Pedro Pablo</t>
  </si>
  <si>
    <t>LILA - IGOR</t>
  </si>
  <si>
    <t>Carvajal Rodriguez Sara Gabriela - Sofia Valentina</t>
  </si>
  <si>
    <t>79367830m/70709503p</t>
  </si>
  <si>
    <t>Garcia-Meza Alana</t>
  </si>
  <si>
    <t>DUNHYA</t>
  </si>
  <si>
    <t>65736434m/4241172c</t>
  </si>
  <si>
    <t>70763838m/70778284p/4593661c</t>
  </si>
  <si>
    <t>Salinas Arandia Francisco - Leticia - Florencia</t>
  </si>
  <si>
    <t>VIVIAN - MARCO</t>
  </si>
  <si>
    <t>79787941m/70716488p/4460101c</t>
  </si>
  <si>
    <t>Calbimonte Zurita Alejandra Belen</t>
  </si>
  <si>
    <t>ANDREA - DANIEL</t>
  </si>
  <si>
    <t>70760940m/75502310p/4519368c</t>
  </si>
  <si>
    <t>Canedo Carrasco Julia - Juan Marco - Monserrat - Jessica</t>
  </si>
  <si>
    <t>MARCO ANTONIO CANEDO MALDONADO</t>
  </si>
  <si>
    <t>M-PRI-SEC</t>
  </si>
  <si>
    <t>Garron Garron Felipe - Santiago</t>
  </si>
  <si>
    <t>FABIANA - MAURICIO</t>
  </si>
  <si>
    <t>GARRON</t>
  </si>
  <si>
    <t>75900431m/68581010m/4586725c</t>
  </si>
  <si>
    <t>Vargas Baldelomar Pedro Alejandro</t>
  </si>
  <si>
    <t>LIZET - RAFAEL</t>
  </si>
  <si>
    <t>BALDELOMAR</t>
  </si>
  <si>
    <t>72744256m/4259832of</t>
  </si>
  <si>
    <t>SOLEDAD - MAURICIO</t>
  </si>
  <si>
    <t>Ramos Rojas Katerin - Jessica - Alejandra</t>
  </si>
  <si>
    <t>KARLA - JOSE</t>
  </si>
  <si>
    <t>72778047m/72725750p</t>
  </si>
  <si>
    <t>Rico Flores Agustin Matias - Valentina Salome</t>
  </si>
  <si>
    <t>MONICA - HAROLD</t>
  </si>
  <si>
    <t>72212316m/72201985p/4026066c</t>
  </si>
  <si>
    <t>PAMELA - PAUL</t>
  </si>
  <si>
    <t>JALDIN</t>
  </si>
  <si>
    <t>72255292m/70797278p</t>
  </si>
  <si>
    <t>Antezana Rojas Santiago Israel - Angela Erika</t>
  </si>
  <si>
    <t>70749010m/70750393p/4365560c</t>
  </si>
  <si>
    <t>Miranda Villarroel Hernán Orlando</t>
  </si>
  <si>
    <t>XIMENA - HERNAN</t>
  </si>
  <si>
    <t>XIMENA VILLARROEL</t>
  </si>
  <si>
    <t>VERONICA - ROBERTO</t>
  </si>
  <si>
    <t>79790979m/76470029p/4411467c</t>
  </si>
  <si>
    <t>Gomez Rocha Ignacio Roberto - Mariana Camila</t>
  </si>
  <si>
    <t>DULIA - CARLOS</t>
  </si>
  <si>
    <t>DULIA LOPEZ</t>
  </si>
  <si>
    <t>70367608m/77412818p/4799374</t>
  </si>
  <si>
    <t>LUZ DANIA - JUAN CARLOS</t>
  </si>
  <si>
    <t>72205827m/71734138p/4489717c</t>
  </si>
  <si>
    <t>Llobet Echavarria Matias - Rodrigo</t>
  </si>
  <si>
    <t>3ºp - 2ºs</t>
  </si>
  <si>
    <t>MARIA RENE - DIEGO</t>
  </si>
  <si>
    <t>DIEGO LLOBET</t>
  </si>
  <si>
    <t>76428042m/76413242p/4440506c</t>
  </si>
  <si>
    <t>Meza Salamanca Mateo Joshua - Felix Gabriel</t>
  </si>
  <si>
    <t>3º - 4º Prim</t>
  </si>
  <si>
    <t>WENDY - FELIX</t>
  </si>
  <si>
    <t>70768526m/72204049p/4404821c</t>
  </si>
  <si>
    <t>JHANNA - GABRIEL</t>
  </si>
  <si>
    <t>MARISCAL</t>
  </si>
  <si>
    <t>77497367m</t>
  </si>
  <si>
    <t>Mariscal Coll Hugo Ramiro</t>
  </si>
  <si>
    <t>JHANNA - ALVARO</t>
  </si>
  <si>
    <t>77497367m/77490798p/4244537c</t>
  </si>
  <si>
    <t>Massignan Sanabria Francisca - Gianluca</t>
  </si>
  <si>
    <t>1º - 2º Prim</t>
  </si>
  <si>
    <t>VIVIAN - PIERANGELO</t>
  </si>
  <si>
    <t>VIVIAN SANABRIA</t>
  </si>
  <si>
    <t>72228239m/72211181p/4443721c</t>
  </si>
  <si>
    <t>Vega Flores Alejandro Gabriel - Briana Maite</t>
  </si>
  <si>
    <t>HASEL</t>
  </si>
  <si>
    <t>71732942m</t>
  </si>
  <si>
    <t>I1 - 5º Prim</t>
  </si>
  <si>
    <t>INIC - PRIM</t>
  </si>
  <si>
    <t>Sanchez Cuesta Alicia</t>
  </si>
  <si>
    <t>MARIA - RAMIRO</t>
  </si>
  <si>
    <t>SANCHEZ</t>
  </si>
  <si>
    <t>68512356m/67557461p/4916413c</t>
  </si>
  <si>
    <t>3ºp-5ºp-2ºs</t>
  </si>
  <si>
    <t>Guzmán Góngora Zahira - Benjamin - Christopher</t>
  </si>
  <si>
    <t xml:space="preserve">SHIRLEY </t>
  </si>
  <si>
    <t>76421700m</t>
  </si>
  <si>
    <t>I1 - 3ºp</t>
  </si>
  <si>
    <t>Aguila Sejas Adrian - Matias Hernan</t>
  </si>
  <si>
    <t>STEPHANIE - HERNAN</t>
  </si>
  <si>
    <t>75497897m/77424577p/4240497c</t>
  </si>
  <si>
    <t>Cosio Soruco Diego Andre - Marlen Beatriz</t>
  </si>
  <si>
    <t>MARIA CECILIA - DIEGO</t>
  </si>
  <si>
    <t>RODRIGO COSIO</t>
  </si>
  <si>
    <t>76904444m/76905555p/4234255c</t>
  </si>
  <si>
    <t>Salguero Suaznabar Santiago - Roger</t>
  </si>
  <si>
    <t>CLAUDIA - ROGER</t>
  </si>
  <si>
    <t>SALGUERO</t>
  </si>
  <si>
    <t>71746645m/76124958p</t>
  </si>
  <si>
    <t>INIC - SEC</t>
  </si>
  <si>
    <t>MARTHA - JUAN</t>
  </si>
  <si>
    <t>75977012m/76433006p/4408103c</t>
  </si>
  <si>
    <t>Teran Uberhuaga Itzel Valentina - Cristhian Gabriel</t>
  </si>
  <si>
    <t>GABRIELA - CRISTHIAN</t>
  </si>
  <si>
    <t>72216086m/72219070p/4795749c</t>
  </si>
  <si>
    <t>MARCELA - HENRY</t>
  </si>
  <si>
    <t>78313138p/72294445m/4407608c</t>
  </si>
  <si>
    <t>Sanzetenea Zambrana Kira Gabriela - Suri Daniela</t>
  </si>
  <si>
    <t>MARIA RENEE - DORIAN</t>
  </si>
  <si>
    <t>70732357m/70747283p/4022733c</t>
  </si>
  <si>
    <t>1º - Sec</t>
  </si>
  <si>
    <t>Zurita Martinez Valeria Camila</t>
  </si>
  <si>
    <t>MONICA</t>
  </si>
  <si>
    <t>78312924m</t>
  </si>
  <si>
    <t>MARITZA - MARCOS</t>
  </si>
  <si>
    <t>1º - 3º Prim</t>
  </si>
  <si>
    <t xml:space="preserve">Covarrubias Araoz Valentina - Sebastian </t>
  </si>
  <si>
    <t>CATIA - MARIO</t>
  </si>
  <si>
    <t>CATIA MALDONADO</t>
  </si>
  <si>
    <t>79763636m/70794006p/4794338c</t>
  </si>
  <si>
    <t>MAYRA - SANTIAGO</t>
  </si>
  <si>
    <t>60354294m/4295398c</t>
  </si>
  <si>
    <t>Bustinza Delgado Mariana</t>
  </si>
  <si>
    <t>ANA - BRIAN</t>
  </si>
  <si>
    <t>BRIAN BUSTINZA</t>
  </si>
  <si>
    <t>70762614m/70766526p/4365774c</t>
  </si>
  <si>
    <t>CARMEN - JUAN ALBERTO</t>
  </si>
  <si>
    <t>72772761m/72712073p/4434471c</t>
  </si>
  <si>
    <t>Serrano Sanchez Huascar - Maya</t>
  </si>
  <si>
    <t>2º - 6º Prim</t>
  </si>
  <si>
    <t>XIMENA - MARCELO</t>
  </si>
  <si>
    <t>77955800m/76400733p</t>
  </si>
  <si>
    <t>Lagraba Ustariz Daniela Rose</t>
  </si>
  <si>
    <t>MIRIAN - WALDO</t>
  </si>
  <si>
    <t>67598752m/72241377p/4519037c</t>
  </si>
  <si>
    <t>70345524m/4025810c</t>
  </si>
  <si>
    <t>VIVIAN - LUDWING</t>
  </si>
  <si>
    <t>MARTHA - FRANCO</t>
  </si>
  <si>
    <t>79352147m/70755560p/4270862c</t>
  </si>
  <si>
    <t>2º - 5º Prim</t>
  </si>
  <si>
    <t>Arce Bustos Bianka Melissa - Kevin Freddy</t>
  </si>
  <si>
    <t>BLANCA - FREDDY</t>
  </si>
  <si>
    <t>FREDDY ARCE</t>
  </si>
  <si>
    <t>CECILIA - JUAN CARLOS</t>
  </si>
  <si>
    <t>70726755m/70722744p/4297739c</t>
  </si>
  <si>
    <t>Revollo Lopez Joaquin - Rafaella</t>
  </si>
  <si>
    <t>ANNELISE - FERNANDO</t>
  </si>
  <si>
    <t>79707780m/79771836p/4429135c</t>
  </si>
  <si>
    <t>FAVIOLA - ALFREDO</t>
  </si>
  <si>
    <t>FAVIOLA ROMERO</t>
  </si>
  <si>
    <t>69493333m/77421888p/4243662c</t>
  </si>
  <si>
    <t>I1 - 2º Prim</t>
  </si>
  <si>
    <t>Valdivia Rodriguez Angela Sofia - Paola Virginia</t>
  </si>
  <si>
    <t>OMARA - GUSTAVO</t>
  </si>
  <si>
    <t>65755992m</t>
  </si>
  <si>
    <t>Tola Zurita Anthony</t>
  </si>
  <si>
    <t>CARLA</t>
  </si>
  <si>
    <t>ZURITA</t>
  </si>
  <si>
    <t>Ayala Del Barco Benjamín</t>
  </si>
  <si>
    <t>CAROLINA - HERNAN</t>
  </si>
  <si>
    <t>76462671m/71466531p/4582301c</t>
  </si>
  <si>
    <t>Ascarrunz Pereira Isela - Rafaela - Monserrat</t>
  </si>
  <si>
    <t>KATIUSKA - JAIME</t>
  </si>
  <si>
    <t>76411152m/79997207p</t>
  </si>
  <si>
    <t>MILENKA - FROILAN</t>
  </si>
  <si>
    <t>FROILAN VILLARROEL</t>
  </si>
  <si>
    <t>70712000m/70710073p/4448274c</t>
  </si>
  <si>
    <t>Villarroel Gutierrez Alice</t>
  </si>
  <si>
    <t>70712001m/4531322c</t>
  </si>
  <si>
    <t>Mendez Astete Agustín - Renata</t>
  </si>
  <si>
    <t>ROCIO - ISRAEL</t>
  </si>
  <si>
    <t>MENDEZ</t>
  </si>
  <si>
    <t>60965985m/60371171p/4481840c</t>
  </si>
  <si>
    <t>Rudon Fischer Aiden Arturo - Lukas Paul</t>
  </si>
  <si>
    <t>JESSICA - ALEJANDRO</t>
  </si>
  <si>
    <t>RUDON</t>
  </si>
  <si>
    <t>2º - 4º Sec</t>
  </si>
  <si>
    <t>MARIA RENE - SANDRO</t>
  </si>
  <si>
    <t>76969555m/4667933c</t>
  </si>
  <si>
    <t>Sosa Guerrero Victoria - Luciana</t>
  </si>
  <si>
    <t>TECNOLOGICA SYSTEMS SRL</t>
  </si>
  <si>
    <t>Parrado Ruiz Gustavo Adolfo - Gabriel Alejandro</t>
  </si>
  <si>
    <t>LENNY - ADOLFO</t>
  </si>
  <si>
    <t>ADOLFO PARRADO</t>
  </si>
  <si>
    <t>72296009m/72276015p/4026933c</t>
  </si>
  <si>
    <t>Arias Mancilla Fernanda Renata Sabrina - Fernanda Antonella</t>
  </si>
  <si>
    <t>LORENA - OSCAR</t>
  </si>
  <si>
    <t>LORENA ARDUZ</t>
  </si>
  <si>
    <t xml:space="preserve">YAQUELIME - VICTOR </t>
  </si>
  <si>
    <t>70304928m/77958297p</t>
  </si>
  <si>
    <t>Siles Mariscal Sarai Belen</t>
  </si>
  <si>
    <t>CAROLA - CARLOS</t>
  </si>
  <si>
    <t>Sanabria Coronel Raquel Sofia - Nicolas</t>
  </si>
  <si>
    <t>MARCELA - RODRIGO</t>
  </si>
  <si>
    <t>CORONEL</t>
  </si>
  <si>
    <t>77497420m/77911166p/4416610c</t>
  </si>
  <si>
    <t>PAOLA - ANTONIO</t>
  </si>
  <si>
    <t>71720943m/70345795p/4243526c</t>
  </si>
  <si>
    <t>Ramos Viamont Luna Isabella - Camilo Marcelo</t>
  </si>
  <si>
    <t>LUPE - YOSVANY</t>
  </si>
  <si>
    <t>ADRIANA - JORGE</t>
  </si>
  <si>
    <t>71415619m/71470088p</t>
  </si>
  <si>
    <t>MIREYA</t>
  </si>
  <si>
    <t>ORTEGA</t>
  </si>
  <si>
    <t>70749921m</t>
  </si>
  <si>
    <t>Castro Machado Hugo César</t>
  </si>
  <si>
    <t>KARINA - CESAR</t>
  </si>
  <si>
    <t>CASTRO</t>
  </si>
  <si>
    <t>67497695m/77427893p/4582818c</t>
  </si>
  <si>
    <t xml:space="preserve">Rocabado Sempertegui Guadalupe - Lia </t>
  </si>
  <si>
    <t>MARCELA - ARMANDO</t>
  </si>
  <si>
    <t>60740407m/70715587p/4259689c</t>
  </si>
  <si>
    <t>DRINA - OSCAR</t>
  </si>
  <si>
    <t>70734118m/70757269p</t>
  </si>
  <si>
    <t>Castellon Fuentes-Samanta-Briana-Adrian-Maya</t>
  </si>
  <si>
    <t>AMBAR - OSCAR</t>
  </si>
  <si>
    <t>79773895m/70344801p</t>
  </si>
  <si>
    <t>INIC-PRIM-SEC</t>
  </si>
  <si>
    <t>D'alencar Guzmán Matías</t>
  </si>
  <si>
    <t>CLAUDIA - RUDY</t>
  </si>
  <si>
    <t>RUDY D'ALENCAR</t>
  </si>
  <si>
    <t>76880077m/75477728p/4222107c</t>
  </si>
  <si>
    <t>Mercado Suaznabar Cecilia - Sofia - Diego</t>
  </si>
  <si>
    <t>GISELLE - ESTEBAN</t>
  </si>
  <si>
    <t>SUAZNABAR</t>
  </si>
  <si>
    <t/>
  </si>
  <si>
    <t>MARIA - CESAR</t>
  </si>
  <si>
    <t>ZUBIETA</t>
  </si>
  <si>
    <t>70390357m/77442785p/4534266p</t>
  </si>
  <si>
    <t>Quiroga Arze Isabel - Andres - Abril</t>
  </si>
  <si>
    <t>MARINES - PEDRO</t>
  </si>
  <si>
    <t>74305899m/67492168p</t>
  </si>
  <si>
    <t>Peñarrieta Numbela Joaquín Ignacio - Saya Mei</t>
  </si>
  <si>
    <t>DENISE - JULIO</t>
  </si>
  <si>
    <t>71220340m/76402979p/4413469c</t>
  </si>
  <si>
    <t>Arandia Cahuana Sigrid Marlene - Elias Sigfrido</t>
  </si>
  <si>
    <t>MARLENE - SIGFRIDO</t>
  </si>
  <si>
    <t>76400295m/77900040p/4458284c</t>
  </si>
  <si>
    <t>Andia Saucedo Maria Jose</t>
  </si>
  <si>
    <t>MERCEDES - RODRIGO</t>
  </si>
  <si>
    <t>MERCEDES SAUCEDO</t>
  </si>
  <si>
    <t>77490065m/77493206p/4281981p</t>
  </si>
  <si>
    <t>Monrroy Rojas Vania Camila-Nicole Divanelly</t>
  </si>
  <si>
    <t>MARCIA - DIEGO</t>
  </si>
  <si>
    <t>77290849m/70612862p/4020400c</t>
  </si>
  <si>
    <t>MUKLED</t>
  </si>
  <si>
    <t>HEIDY - LUIS FERNANDO</t>
  </si>
  <si>
    <t>SEJAS</t>
  </si>
  <si>
    <t>65375266m/69502345p</t>
  </si>
  <si>
    <t>ROXANA - OMAR</t>
  </si>
  <si>
    <t>70758933m/69554829p/4410183c</t>
  </si>
  <si>
    <t xml:space="preserve">Torres Cortez Santiago Salvador </t>
  </si>
  <si>
    <t>NESYUN - MANUEL</t>
  </si>
  <si>
    <t>69458672m/77997519p</t>
  </si>
  <si>
    <t>Gutierrez Quispe Mariana Isabela</t>
  </si>
  <si>
    <t>72702518m/72270801p/4280912c</t>
  </si>
  <si>
    <t>VIVIAN - CARLOS</t>
  </si>
  <si>
    <t>65240267m/65785938p/4511093c</t>
  </si>
  <si>
    <t>S/F</t>
  </si>
  <si>
    <t xml:space="preserve">Serrano Burgos Luciana - Natalia </t>
  </si>
  <si>
    <t>ALICIA - MARCELO</t>
  </si>
  <si>
    <t>76551536m/76400733p/4458478c</t>
  </si>
  <si>
    <t>Meneses Jordan Nicolas - Ignacio</t>
  </si>
  <si>
    <t>SIGRID - LUIS</t>
  </si>
  <si>
    <t>MENESES</t>
  </si>
  <si>
    <t>70727622m/79770170p/4442734</t>
  </si>
  <si>
    <t>3ºp-4ºp-4ºs</t>
  </si>
  <si>
    <t>Carrasco Riveiro Augusto - Valentina - Victoria</t>
  </si>
  <si>
    <t>REBEKA - MARCO</t>
  </si>
  <si>
    <t>67452302m/60706979p</t>
  </si>
  <si>
    <t>miercoles,23 de enero de 2019</t>
  </si>
  <si>
    <t>viernes,15 de enero de 2019</t>
  </si>
  <si>
    <t>Shanks Morales Amaru Fletcher-Joaquin Takiri</t>
  </si>
  <si>
    <t>70348488p/72744299m</t>
  </si>
  <si>
    <t>Monje Ugarte Camila Alejandra-Santiago Daniel</t>
  </si>
  <si>
    <t>77700157p-69464092m</t>
  </si>
  <si>
    <t>ALEJANDRO - CLAUDIA</t>
  </si>
  <si>
    <t>Escalera Pozo Gael Omar</t>
  </si>
  <si>
    <t>Vargas Suarez Diana - Carolina - Nayeli</t>
  </si>
  <si>
    <t>GRACIELA - RUBEN</t>
  </si>
  <si>
    <t>76999232m77400250p/4412950c</t>
  </si>
  <si>
    <t>Camacho Garrón Marco Antonio Gabino</t>
  </si>
  <si>
    <t>KATTY - MARCO ANTONIO</t>
  </si>
  <si>
    <t>70716857m/72202872p</t>
  </si>
  <si>
    <t>Schlink Herbas Isis - Bruno Augusto</t>
  </si>
  <si>
    <t>SANDRA - BRUNO</t>
  </si>
  <si>
    <t>NORMA - JOSE MIGUEL</t>
  </si>
  <si>
    <t>72207433m/70752267p/4507831c</t>
  </si>
  <si>
    <t>Martinez Terán Montserrat Maia</t>
  </si>
  <si>
    <t>RUTH - ERICK</t>
  </si>
  <si>
    <t>71717730m/70873440p/4222708c</t>
  </si>
  <si>
    <t>CARMEN - ROBERTO</t>
  </si>
  <si>
    <t>70548151m/70744150p/4420236c</t>
  </si>
  <si>
    <t>Campos Maida Amir</t>
  </si>
  <si>
    <t>JESICA - HERNAN</t>
  </si>
  <si>
    <t>JESICA MERIDA</t>
  </si>
  <si>
    <t>72212230m/76408000p/4450278c</t>
  </si>
  <si>
    <t>CORINA - WALTER</t>
  </si>
  <si>
    <t>76401634m/77457999p/4291694c</t>
  </si>
  <si>
    <t>VERTA - FRANCISCO</t>
  </si>
  <si>
    <t>67528808m/76953919p</t>
  </si>
  <si>
    <t>GEORGINA</t>
  </si>
  <si>
    <t>72741785m</t>
  </si>
  <si>
    <t>BRIANNA - COLLIN</t>
  </si>
  <si>
    <t>72212802m/72784943p</t>
  </si>
  <si>
    <t>Paredes Martinez Florencia</t>
  </si>
  <si>
    <t>FERNANDA - ANDRES</t>
  </si>
  <si>
    <t>65366676m/65366677p</t>
  </si>
  <si>
    <t>KATHERINE - DAVID</t>
  </si>
  <si>
    <t>KATHERINE CARDOZO</t>
  </si>
  <si>
    <t>67405327m/4284462c</t>
  </si>
  <si>
    <t>CARLA - CHRISTIAN</t>
  </si>
  <si>
    <t>77423076m/78367619p</t>
  </si>
  <si>
    <t>Zema Nuñez Fernanda Paola - Leonardo Jhoel</t>
  </si>
  <si>
    <t>77940611m/7970007p/4718405c</t>
  </si>
  <si>
    <t>CLAUDIA - JORGE</t>
  </si>
  <si>
    <t>MARIA LUISA UDAETA</t>
  </si>
  <si>
    <t>70723782m/75499469p/4407150c</t>
  </si>
  <si>
    <t>Camargo Schnorr Luciana - Victoria</t>
  </si>
  <si>
    <t>VIVIAN</t>
  </si>
  <si>
    <t>77999623m/4792199c</t>
  </si>
  <si>
    <t>JACQUELINE - DENNIS</t>
  </si>
  <si>
    <t>70734848m/70341148p/4287435c</t>
  </si>
  <si>
    <t>Pardo Camacho Micaela Rosario - Lukas Thadeo</t>
  </si>
  <si>
    <t>Bruckner Laserna Claudio -  Mila</t>
  </si>
  <si>
    <t>MARIANA - IVAN</t>
  </si>
  <si>
    <t>65362200m/77408000p</t>
  </si>
  <si>
    <t>Lopez Mora Diandra Raquel</t>
  </si>
  <si>
    <t>MONICA - ADAN</t>
  </si>
  <si>
    <t>HEREDIA</t>
  </si>
  <si>
    <t>77946161m/79343265p/4451377c</t>
  </si>
  <si>
    <t>De Los Rios QuirogaFranco - Ignacio - Maria Jose</t>
  </si>
  <si>
    <t>KAREN - JULIO</t>
  </si>
  <si>
    <t>CARLA - GIOVANI</t>
  </si>
  <si>
    <t>67460323m/70774462p/4245037c</t>
  </si>
  <si>
    <t>Escalera Salinas Manuel Alejandro - Sergio Antonio</t>
  </si>
  <si>
    <t>XIMENA - MARCO</t>
  </si>
  <si>
    <t>67580881m/71753055p</t>
  </si>
  <si>
    <t>MORE - LUIS</t>
  </si>
  <si>
    <t>71714848m/71725050p/4400346c</t>
  </si>
  <si>
    <t>Quintanilla Morales Andres Xavier</t>
  </si>
  <si>
    <t>NATALIA - XAVIER</t>
  </si>
  <si>
    <t>XAVIER QUINTANILLA</t>
  </si>
  <si>
    <t>69535123m/61600437p/4228468c</t>
  </si>
  <si>
    <t>Alvarez Chaira Vivian Alicia</t>
  </si>
  <si>
    <t>FABIOLA - JULIO</t>
  </si>
  <si>
    <t>Zalazar Pavisic Luciana - Gustavo - Guillermo</t>
  </si>
  <si>
    <t>PAOLA - LUIS FERNANDO</t>
  </si>
  <si>
    <t>68580158m/68580160p/4368113c</t>
  </si>
  <si>
    <t>FABIOLA - CRISTIAN</t>
  </si>
  <si>
    <t>CARRASCO</t>
  </si>
  <si>
    <t>70775719p/4291366c</t>
  </si>
  <si>
    <t>ALEJANDRA - JAVIER</t>
  </si>
  <si>
    <t>JAVIER ALTIERI</t>
  </si>
  <si>
    <t>70713114m/76401410p</t>
  </si>
  <si>
    <t>VIRGINIA - DUSSAM</t>
  </si>
  <si>
    <t>70713148m/70711238p/4792593c</t>
  </si>
  <si>
    <t>Montaño Rossell Santiago - Natalia Luciana</t>
  </si>
  <si>
    <t>MARCELA - ALFREDO</t>
  </si>
  <si>
    <t>70744003m/71858812p/4486558c</t>
  </si>
  <si>
    <t>JACQUELINE - ALDO</t>
  </si>
  <si>
    <t>76462448m/60375289p/4401767c</t>
  </si>
  <si>
    <t>Moya Cespedes Nicolas Mateo - Keila Jahaziel</t>
  </si>
  <si>
    <t>DANIELA - RAMON</t>
  </si>
  <si>
    <t>60359484m/70771989p/4449896c</t>
  </si>
  <si>
    <t>NILCE - GONZALO</t>
  </si>
  <si>
    <t>72271435m/4402858c</t>
  </si>
  <si>
    <t>Angulo Balderrama Fabricio Fernando - Santiago Fernando</t>
  </si>
  <si>
    <t>KAREN - GUIDO</t>
  </si>
  <si>
    <t>70766863m/70360540p/4248931c</t>
  </si>
  <si>
    <t>Block Vargas Sara Catalina - Sofia Renata</t>
  </si>
  <si>
    <t>MILENA - JESUS</t>
  </si>
  <si>
    <t>75908683m/72276686p/4407151c</t>
  </si>
  <si>
    <t xml:space="preserve">Castro Oropeza Julieta Thais - Sabine </t>
  </si>
  <si>
    <t>70377993m/4425055c</t>
  </si>
  <si>
    <t>DAMARIS - OSVALDO</t>
  </si>
  <si>
    <t>ROCIO - WALDO</t>
  </si>
  <si>
    <t>77999880m/77971444p/4377358c</t>
  </si>
  <si>
    <t>Daza Adorno Isabelle Cristina - Sofia Helen</t>
  </si>
  <si>
    <t>Burgoa Diaz Mateo</t>
  </si>
  <si>
    <t>ELIANA - JAIME</t>
  </si>
  <si>
    <t>72224011m/71733958p</t>
  </si>
  <si>
    <t>Castro Calizaya Andrea Maisha - Russell Lucia</t>
  </si>
  <si>
    <t>DIANARDA - PEDRO</t>
  </si>
  <si>
    <t>78316187m/79995674p/4310656c</t>
  </si>
  <si>
    <t>Cortez Montalvo Emiliano Fabian</t>
  </si>
  <si>
    <t>ANDREA</t>
  </si>
  <si>
    <t>MONTALVO</t>
  </si>
  <si>
    <t>Mat - 6ºp</t>
  </si>
  <si>
    <t>Hinojosa Almaquio Uma Aynara - Jose Miguel</t>
  </si>
  <si>
    <t>MARGOTH - DAVID</t>
  </si>
  <si>
    <t>65365701m/79700092p/4409442c</t>
  </si>
  <si>
    <t>Meneses Velasco Santiago - Sara - Valentina</t>
  </si>
  <si>
    <t>KARINA - JHONNY</t>
  </si>
  <si>
    <t>76504051m/77702006p/4121082c</t>
  </si>
  <si>
    <t>Boulocq Gabela Sebastian</t>
  </si>
  <si>
    <t>DANIELA - DIEGO</t>
  </si>
  <si>
    <t>72240462m/70762391p</t>
  </si>
  <si>
    <t>NATALY - JOSE LUIS</t>
  </si>
  <si>
    <t>65557481m/70308277p</t>
  </si>
  <si>
    <t>2º - 4º Prim</t>
  </si>
  <si>
    <t>Castro Dorado Carlos Arturo - Nicolas Ignacio</t>
  </si>
  <si>
    <t>CINTHIA - JUAN CARLOS</t>
  </si>
  <si>
    <t>Calderon Sanchez Jaime Anibal</t>
  </si>
  <si>
    <t>MARIVEL-JAIME</t>
  </si>
  <si>
    <t>79709596p/63946391m/4425396</t>
  </si>
  <si>
    <t>MARINA - FREDDY</t>
  </si>
  <si>
    <t>UCHARICO</t>
  </si>
  <si>
    <t>79978872m/65306708p</t>
  </si>
  <si>
    <t>Fernandez Saavedra Celeste Alessandra</t>
  </si>
  <si>
    <t>PACIFICO-ROMMY</t>
  </si>
  <si>
    <t>67409078m</t>
  </si>
  <si>
    <t>Peñaloza Prado Rafael Andres - Nicolas Luis</t>
  </si>
  <si>
    <t>STEPHANIE - DAVID</t>
  </si>
  <si>
    <t>CARLOS PEÑALOZA</t>
  </si>
  <si>
    <t>70729511m/76456938p</t>
  </si>
  <si>
    <t>Serrano Gonzales Elisa-Pablo</t>
  </si>
  <si>
    <t>PABLO-VERONICA</t>
  </si>
  <si>
    <t>VERONICA GONZALEZ</t>
  </si>
  <si>
    <t>77410068m/71733501Javier</t>
  </si>
  <si>
    <t>PRIM-SEC</t>
  </si>
  <si>
    <t>ERIKA - JUAN CARLOS</t>
  </si>
  <si>
    <t>GOMEZ</t>
  </si>
  <si>
    <t>EDUARDO-M. LISBED</t>
  </si>
  <si>
    <t>ROMMY VERASTEGUI</t>
  </si>
  <si>
    <t>70748297p/60375783p</t>
  </si>
  <si>
    <t>ROGER-FABIOLA</t>
  </si>
  <si>
    <t>44878833p/70727105m</t>
  </si>
  <si>
    <t>JULIO-ALEJANDRA</t>
  </si>
  <si>
    <t>76379260p/76465214m</t>
  </si>
  <si>
    <t>PAULO-LINDSEY</t>
  </si>
  <si>
    <t>69440067p/72726197m</t>
  </si>
  <si>
    <t>ANA-ORLANDO</t>
  </si>
  <si>
    <t>69775684m/69775685p/4446097c</t>
  </si>
  <si>
    <t>Valverde Padilla Luciana Isabella-Jorge Alejandro</t>
  </si>
  <si>
    <t>MAT-PRIM</t>
  </si>
  <si>
    <t>79725445p/70787505m</t>
  </si>
  <si>
    <t>Ferreiro Belenguer Damia Vicenc-Celia Epifania</t>
  </si>
  <si>
    <t>MARTHA</t>
  </si>
  <si>
    <t>Caballero Cortes Julia</t>
  </si>
  <si>
    <t>LIGIA - ROMAN</t>
  </si>
  <si>
    <t>COPERSA</t>
  </si>
  <si>
    <t>77400199m/77400118p/4408301c</t>
  </si>
  <si>
    <t>Fernandez Tambo Samantha - Santiago</t>
  </si>
  <si>
    <t>5ºp - 1ºs</t>
  </si>
  <si>
    <t>ELIZABETH - DANIEL</t>
  </si>
  <si>
    <t>75959935m/76458299p/4067779c</t>
  </si>
  <si>
    <t>Mejia Mareño Santiago - Lucia Camila</t>
  </si>
  <si>
    <t>VANESA - WILLIAM</t>
  </si>
  <si>
    <t>4038769c/75957346p</t>
  </si>
  <si>
    <t>I2 - 2ºp</t>
  </si>
  <si>
    <t xml:space="preserve">Vargas Gomez Maria Jose - Amaranta </t>
  </si>
  <si>
    <t>MABEL - RAMIRO</t>
  </si>
  <si>
    <t>67503199m/78327809p</t>
  </si>
  <si>
    <t>GONZALES</t>
  </si>
  <si>
    <t>79730401m/70733130p/4422406c</t>
  </si>
  <si>
    <t>1º Sec</t>
  </si>
  <si>
    <t>Flores La Fuente Valentina</t>
  </si>
  <si>
    <t>GABRIELA - MAURICIO</t>
  </si>
  <si>
    <t>76424979m/4246792c</t>
  </si>
  <si>
    <t>Gimenez Pavisic Pia - Luka</t>
  </si>
  <si>
    <t>CLAUDIA - ALEJANDRO</t>
  </si>
  <si>
    <t>76900088m/75917173p</t>
  </si>
  <si>
    <t>DAVID-CRISTINA</t>
  </si>
  <si>
    <t>65353010p/65353010m</t>
  </si>
  <si>
    <t>VARINIA - MAURICO</t>
  </si>
  <si>
    <t>LARA</t>
  </si>
  <si>
    <t>65322299m/77415163p/4427423c</t>
  </si>
  <si>
    <t xml:space="preserve">Paredes Romero Juan Jose - Ricardo </t>
  </si>
  <si>
    <t>3º - 6º Sec</t>
  </si>
  <si>
    <t>LENNY - JOSE</t>
  </si>
  <si>
    <t>Vera Ledezma Annelisse</t>
  </si>
  <si>
    <t>ROLANDO-ELVA</t>
  </si>
  <si>
    <t>CAROLA - ROGER</t>
  </si>
  <si>
    <t>ROGER ARNEZ</t>
  </si>
  <si>
    <t>76470045m/76470046p/4423382c</t>
  </si>
  <si>
    <t>LENNY ROMERO</t>
  </si>
  <si>
    <t>70749064m/71720452p/4308433c</t>
  </si>
  <si>
    <t xml:space="preserve">De La Fuente Lavayen Hugo Guillermo </t>
  </si>
  <si>
    <t>MARITZA - VICTOR</t>
  </si>
  <si>
    <t xml:space="preserve">Sanchez  Nava Catalina </t>
  </si>
  <si>
    <t>MARCELO-DANIELA</t>
  </si>
  <si>
    <t>764023336p/6531530m/4547840</t>
  </si>
  <si>
    <t>Quispe Cortez Leonardo - Hector</t>
  </si>
  <si>
    <t>2ºp - 1ºs</t>
  </si>
  <si>
    <t>THELMA - IVAN</t>
  </si>
  <si>
    <t>69543860m/76901360p/4287498c</t>
  </si>
  <si>
    <t>Thames Camara Agustin Leandro</t>
  </si>
  <si>
    <t>GROVER-NORAH</t>
  </si>
  <si>
    <t>77969411p/60350600m/4245914</t>
  </si>
  <si>
    <t>JHONNY-MARIA CRISTINA</t>
  </si>
  <si>
    <t>79955619prof Paola(tia)</t>
  </si>
  <si>
    <t>5º Prim</t>
  </si>
  <si>
    <t>Tapia Rodas Daniela Brisa</t>
  </si>
  <si>
    <t>FERNANDO-VALERIA</t>
  </si>
  <si>
    <t>TAPIA</t>
  </si>
  <si>
    <t>Crespo Caballero Luciano Ramiro</t>
  </si>
  <si>
    <t>MONICA DANIELA CABALLERO</t>
  </si>
  <si>
    <t>78408796p/70771585m</t>
  </si>
  <si>
    <t>INICIAL II</t>
  </si>
  <si>
    <t>ALBANA-GUIDO</t>
  </si>
  <si>
    <t>ESCOBAR</t>
  </si>
  <si>
    <t>76454928m/4413009C</t>
  </si>
  <si>
    <t>Noriega Camacho Nicole-Nathalia</t>
  </si>
  <si>
    <t>4461138c/76970059p/46995337m</t>
  </si>
  <si>
    <t>69371639p/77466999m</t>
  </si>
  <si>
    <t>Morant Cuellar Carlos/Ticona Cuellar Mariano-Aneliz</t>
  </si>
  <si>
    <t>1ro Sec</t>
  </si>
  <si>
    <t>Camacho Wilstermann Santiago Nicolas</t>
  </si>
  <si>
    <t>DANIEL-CRISTHY</t>
  </si>
  <si>
    <t>70716060p/68580090m/4019198</t>
  </si>
  <si>
    <t>MANO</t>
  </si>
  <si>
    <t>JAIME-RUTH</t>
  </si>
  <si>
    <t>71733981p/79967494m</t>
  </si>
  <si>
    <t>Ortega La Torre Alexander Joseph-Erick Joshua</t>
  </si>
  <si>
    <t>Suarez Rojas Santiago Gabriel-Anthony Dilan</t>
  </si>
  <si>
    <t>CARLOS-SUSAN</t>
  </si>
  <si>
    <t>79199871p/78700870m</t>
  </si>
  <si>
    <t>Cardozo Jose Manuel</t>
  </si>
  <si>
    <t>MANUEL(abuelo)</t>
  </si>
  <si>
    <t>miercoles,30 de enero de 2019</t>
  </si>
  <si>
    <t>DANIEL-SUSANA</t>
  </si>
  <si>
    <t>65195354p/72264000m/4452340c</t>
  </si>
  <si>
    <t>67581249p/72784849m/4487345</t>
  </si>
  <si>
    <t xml:space="preserve">Fiorilo Rivero Luca-Mia Belen-Sophia </t>
  </si>
  <si>
    <t>CAROLINA-MARCELO</t>
  </si>
  <si>
    <t>69464391p/75841871m/4799464</t>
  </si>
  <si>
    <t>FRANZ-KATTY</t>
  </si>
  <si>
    <t>JORGE PEREDO</t>
  </si>
  <si>
    <t>70722260p/70728635m</t>
  </si>
  <si>
    <t>LIMBERT-KATHERINA</t>
  </si>
  <si>
    <t>78350550p/4401988</t>
  </si>
  <si>
    <t>JUAN PABLO-PAMELA</t>
  </si>
  <si>
    <t>79327621p/77402005m</t>
  </si>
  <si>
    <t>Bravo Gutierrez Mia Isabella</t>
  </si>
  <si>
    <t>PAOLO-NATALY</t>
  </si>
  <si>
    <t>GERMAN GUTIERREZ</t>
  </si>
  <si>
    <t>70306406p/77408444m/4406049</t>
  </si>
  <si>
    <t>INICIAL I</t>
  </si>
  <si>
    <t>Moreira Franco Debora Yulissa</t>
  </si>
  <si>
    <t>ALVARO-NILSA</t>
  </si>
  <si>
    <t>78347804p/75575329m</t>
  </si>
  <si>
    <t>Nuñez Escalera Arleen Nashell</t>
  </si>
  <si>
    <t>NAVOR-MARIA</t>
  </si>
  <si>
    <t>70390490p/72266194m/4542006</t>
  </si>
  <si>
    <t>Villarreal Soria Galvarro Luis Nicolas</t>
  </si>
  <si>
    <t>NICOLAS-LAURA</t>
  </si>
  <si>
    <t>ASPIAZU</t>
  </si>
  <si>
    <t>76498562p/76406493m/4233698</t>
  </si>
  <si>
    <t>Cossio Antezana Julio Manuel</t>
  </si>
  <si>
    <t>EDWIN-MARIA DEL CARMEN</t>
  </si>
  <si>
    <t>EDWIN COSSIO</t>
  </si>
  <si>
    <t>71743350p/71724915m/4294634</t>
  </si>
  <si>
    <t>Scheer Moritz</t>
  </si>
  <si>
    <t>OLIVER-KATHARINA</t>
  </si>
  <si>
    <t>78355557p/69447580</t>
  </si>
  <si>
    <t>EDGAR-HEIDI</t>
  </si>
  <si>
    <t>79798006p/70308006m/4234690</t>
  </si>
  <si>
    <t>Martinez Mendez Samuel Maximiliano</t>
  </si>
  <si>
    <t>75843000p/77806094m</t>
  </si>
  <si>
    <t>Paz Santa Cruz Natalia Mariana</t>
  </si>
  <si>
    <t>CLAUDIA-OMAR</t>
  </si>
  <si>
    <t>75980088p/76938322m</t>
  </si>
  <si>
    <t>ROBERTO-GRACE</t>
  </si>
  <si>
    <t>ANTEZANA</t>
  </si>
  <si>
    <t>67405642p/70760531M/4257502</t>
  </si>
  <si>
    <t>Rendon Rahib Mathias Gabriel</t>
  </si>
  <si>
    <t>Caballero Morales Sofia Rafaela</t>
  </si>
  <si>
    <t>Camacho Anaya Lucas</t>
  </si>
  <si>
    <t>YERKO-JEMMY</t>
  </si>
  <si>
    <t>68497527p/72204977</t>
  </si>
  <si>
    <t>Villavicencio Encinas Aitana</t>
  </si>
  <si>
    <t>76874744m/4293378</t>
  </si>
  <si>
    <t>Paez Rivas Andrea Sofia</t>
  </si>
  <si>
    <t>CESAR-YEISY</t>
  </si>
  <si>
    <t>78313566p/69467347m</t>
  </si>
  <si>
    <t>Inicial</t>
  </si>
  <si>
    <t>Gallardo Cardenas Isabella</t>
  </si>
  <si>
    <t>PAOLA</t>
  </si>
  <si>
    <t>69550937m/71480853(abuela)</t>
  </si>
  <si>
    <t>Zuñiga Morales Emma Nicole</t>
  </si>
  <si>
    <t>DIEGO-JENNIFER</t>
  </si>
  <si>
    <t>72711152p/72751858m</t>
  </si>
  <si>
    <t>Flores Zenteno Dominique Annethe</t>
  </si>
  <si>
    <t>ENDERSON-LAURY</t>
  </si>
  <si>
    <t>77951023m</t>
  </si>
  <si>
    <t>Flores Cruz Alejandro Leonel</t>
  </si>
  <si>
    <t>LEOPOLDO-MARIELA</t>
  </si>
  <si>
    <t>79991675p/72578721m</t>
  </si>
  <si>
    <t>martes,5 de febrero de 2019</t>
  </si>
  <si>
    <t>ERIC-EMILY</t>
  </si>
  <si>
    <t>63885140p/63885133m/4062500</t>
  </si>
  <si>
    <t>Lizarazu Skipper Elliot-Julia-Ellie-Lydia</t>
  </si>
  <si>
    <t>Hong Roh Josue Buseon</t>
  </si>
  <si>
    <t>SEOK JONG-GRACE</t>
  </si>
  <si>
    <t>77448944p/72727958m</t>
  </si>
  <si>
    <t>GUSTAVO-VIVIANA</t>
  </si>
  <si>
    <t>4300751/79950180m/72273222</t>
  </si>
  <si>
    <t>Soraire Almanza Adrian Agustin</t>
  </si>
  <si>
    <t>ALMANZA</t>
  </si>
  <si>
    <t xml:space="preserve">LORENA </t>
  </si>
  <si>
    <t>Alvarez Sejas Julio Gabriel</t>
  </si>
  <si>
    <t>DANIEL-MARCELA</t>
  </si>
  <si>
    <t>MARCELA SEJAS</t>
  </si>
  <si>
    <t>77805759p/79790719m/4236688</t>
  </si>
  <si>
    <t>Pavisic Salinas Tiago Leandro</t>
  </si>
  <si>
    <t>JAVIER-GABRIELA</t>
  </si>
  <si>
    <t>'77425025p/70717775</t>
  </si>
  <si>
    <t>77425025p/70717775m/4442329</t>
  </si>
  <si>
    <t>NERY-CAROLA</t>
  </si>
  <si>
    <t>'</t>
  </si>
  <si>
    <t>79388817p/72708105m/4036507</t>
  </si>
  <si>
    <t>5º-6º Prim</t>
  </si>
  <si>
    <t>Meneses Acha Gloria Eunice-Carola Andrea</t>
  </si>
  <si>
    <t>Serrate Buitrago Anhel Belen-Karel Sophia</t>
  </si>
  <si>
    <t>HENRY-PAOLA</t>
  </si>
  <si>
    <t>79799887p/79361918m</t>
  </si>
  <si>
    <t>Garcia Salazar Nicole Romaneth-Christopher Kramer</t>
  </si>
  <si>
    <t>2º-6º Sec</t>
  </si>
  <si>
    <t>KARINA-KRAMER</t>
  </si>
  <si>
    <t>73374743p/76447894m/4253188</t>
  </si>
  <si>
    <t>Rojas Rios Camila</t>
  </si>
  <si>
    <t>70376790p/70358507m</t>
  </si>
  <si>
    <t>SAULO-ANA CAROLINA</t>
  </si>
  <si>
    <t>65395254p/60715976m</t>
  </si>
  <si>
    <t>Martinez Teran Montserrat Maia</t>
  </si>
  <si>
    <t>ERIK-RUTH</t>
  </si>
  <si>
    <t>RUTH TERAN</t>
  </si>
  <si>
    <t>70873440p/71717730m</t>
  </si>
  <si>
    <t>HEIDY-JUAN DARIO</t>
  </si>
  <si>
    <t>HEIDY ZAPATA</t>
  </si>
  <si>
    <t>72200425m/424553</t>
  </si>
  <si>
    <t>Sotomayor Briancon Samuel Esteban</t>
  </si>
  <si>
    <t>Barrera Aguirre Estefanie</t>
  </si>
  <si>
    <t>MARIANELA</t>
  </si>
  <si>
    <t>MARIANELA AGUIRRE</t>
  </si>
  <si>
    <t>Covarrubias Saavedra Victoria</t>
  </si>
  <si>
    <t>SERGIO-OLIVIA</t>
  </si>
  <si>
    <t>CECILIA COVARRUBIAS</t>
  </si>
  <si>
    <t>70713130p/70773210m</t>
  </si>
  <si>
    <t>Lunes, 18 de febrero de 2019</t>
  </si>
  <si>
    <t>MARCELO TORRICO</t>
  </si>
  <si>
    <t>77490314p/7744414m</t>
  </si>
  <si>
    <t>Torrico Guillen Nadira Rafaela-Naihara Jaylien</t>
  </si>
  <si>
    <t>Martes, 19 de febrero de 2019</t>
  </si>
  <si>
    <t>INI-PRIM</t>
  </si>
  <si>
    <t>Vargas Gomez Maria Jose-Amaranta</t>
  </si>
  <si>
    <t>RAMIRO-MABEL</t>
  </si>
  <si>
    <t>78327809m/67503199p</t>
  </si>
  <si>
    <t>Sejas Zapata Rodrigo Gabriel-Fernanda Gabriela</t>
  </si>
  <si>
    <t xml:space="preserve">Covarrubias Maldonado Matias-Valentina </t>
  </si>
  <si>
    <t>Huaygua Fernandez Ismael Nathan</t>
  </si>
  <si>
    <t>RUBEN-YESENIA</t>
  </si>
  <si>
    <t>76435035p/78326098m</t>
  </si>
  <si>
    <t>NAYRA-WALTER</t>
  </si>
  <si>
    <t>72761555m/72782061 ABUELO</t>
  </si>
  <si>
    <t>Matas Olivera Jesus Antonio</t>
  </si>
  <si>
    <t>JAVIER-PATRICIA</t>
  </si>
  <si>
    <t>Campos Anaya Ignacio Santiago</t>
  </si>
  <si>
    <t>JOSE-MONICA</t>
  </si>
  <si>
    <t>78910737m/77939023p</t>
  </si>
  <si>
    <t>Rodriguez Guzman Adriana-Sebastian</t>
  </si>
  <si>
    <t>JHENNY-JAVIER</t>
  </si>
  <si>
    <t>768465749/71735463</t>
  </si>
  <si>
    <t>JAVIER RODRIGUEZ</t>
  </si>
  <si>
    <t>Inicial I</t>
  </si>
  <si>
    <t>Chanez Montaño Stefan Gael</t>
  </si>
  <si>
    <t>72204557M/72204558P</t>
  </si>
  <si>
    <t>VANESSA-SERGIO</t>
  </si>
  <si>
    <t>1ro Prim</t>
  </si>
  <si>
    <t>Gamboa Navarro Nicolas</t>
  </si>
  <si>
    <t>GAMBOA</t>
  </si>
  <si>
    <t>77915200p/71605944m</t>
  </si>
  <si>
    <t>72726617M</t>
  </si>
  <si>
    <t>Mendoza Feusi Flurin Isondu-Iraya</t>
  </si>
  <si>
    <t>ASTRID</t>
  </si>
  <si>
    <t>6to Prim</t>
  </si>
  <si>
    <t>Velasquez Guzman Camila</t>
  </si>
  <si>
    <t>JORGE-MARIA DEL PILAR</t>
  </si>
  <si>
    <t>67598700-67598131</t>
  </si>
  <si>
    <t>2do Primaria</t>
  </si>
  <si>
    <t>Lopez Oporto Maiara Aleyda</t>
  </si>
  <si>
    <t>GUNNAR LOPEZ</t>
  </si>
  <si>
    <t>68717171p/67030049m</t>
  </si>
  <si>
    <t>jueves,25 de abril de 2019</t>
  </si>
  <si>
    <t>Huanca Terceros Isha Luana</t>
  </si>
  <si>
    <t>CALEB-MAYERLING</t>
  </si>
  <si>
    <t>69541833p/79957428m</t>
  </si>
  <si>
    <t>Lunes,29 de abril de 2019</t>
  </si>
  <si>
    <t>Maldonado Rivero Alexa</t>
  </si>
  <si>
    <t>CAMILO</t>
  </si>
  <si>
    <t>MALDONADO</t>
  </si>
  <si>
    <t>PABLO-NEVA</t>
  </si>
  <si>
    <t>GUSTAVO CALDERON</t>
  </si>
  <si>
    <t>72005533p/70367277m</t>
  </si>
  <si>
    <t>2do  Prim</t>
  </si>
  <si>
    <t>6to Sec</t>
  </si>
  <si>
    <t>Espinoza Guillen Valeria</t>
  </si>
  <si>
    <t>ALVARO-TERESA</t>
  </si>
  <si>
    <t>ALVARO ESPINOZA</t>
  </si>
  <si>
    <t>78324020p/69529101m</t>
  </si>
  <si>
    <t>Martes, 30 de abril de 2019</t>
  </si>
  <si>
    <t>Buitrago Ortega Katherine-M. Victoria-M. Emilia-Pedro</t>
  </si>
  <si>
    <t>1ro de Prim</t>
  </si>
  <si>
    <t>Nogales Cuadros Jonathan-Albert Sebastian</t>
  </si>
  <si>
    <t>JUAN CARLOS-M. ELVA</t>
  </si>
  <si>
    <t>63616941p</t>
  </si>
  <si>
    <t>Martes, 7 de mayo de 2019</t>
  </si>
  <si>
    <t>Carrasco Da Rocha Aaron</t>
  </si>
  <si>
    <t>GLIELBER- DEIDY</t>
  </si>
  <si>
    <t>73774920-4584760 ABUELA</t>
  </si>
  <si>
    <t>Villarroel Arze Leandro Flavio</t>
  </si>
  <si>
    <t>HALVY VIVIANA</t>
  </si>
  <si>
    <t>77422322p/75926307m/4429775</t>
  </si>
  <si>
    <t>Vallejo Molina Mateo André</t>
  </si>
  <si>
    <t>JAVIER-LUCIA</t>
  </si>
  <si>
    <t>70762255p/70770800m/4509051</t>
  </si>
  <si>
    <t>Lunes,10 de junio de 2019</t>
  </si>
  <si>
    <t>Tordoya Gonzales Oksana Kristine</t>
  </si>
  <si>
    <t>ALDO-JAEL</t>
  </si>
  <si>
    <t>76488997p/78364199m</t>
  </si>
  <si>
    <t>Lunes 26 de febrero de 2019</t>
  </si>
  <si>
    <t>Vasquez Navarro Jose Pedro</t>
  </si>
  <si>
    <t>Lunes 15 de julio de 2019</t>
  </si>
  <si>
    <t>Carvajal Arispe Paula Isabela</t>
  </si>
  <si>
    <t>ALBERTO-LOYDA</t>
  </si>
  <si>
    <t>75976759p/78323000m</t>
  </si>
  <si>
    <t>Lunes 1 de agosto de 2019</t>
  </si>
  <si>
    <t>Quinteros Ramallo Devin Carlos</t>
  </si>
  <si>
    <t>ELMER-STACY</t>
  </si>
  <si>
    <t>69534818padre</t>
  </si>
  <si>
    <t>1ro B</t>
  </si>
  <si>
    <t>3ro B</t>
  </si>
  <si>
    <t>Quiroga Ramirez Sofia Isabella</t>
  </si>
  <si>
    <t>BRUNO-TEREZA</t>
  </si>
  <si>
    <t>70725525m/70721025abu/4288658</t>
  </si>
  <si>
    <t>Merida Guardia Santiago Benjamin</t>
  </si>
  <si>
    <t>Jueves 8 de agosto de 2019</t>
  </si>
  <si>
    <t>1ro de Sec</t>
  </si>
  <si>
    <t>Saavedra Almaraz Sergio Gabriel</t>
  </si>
  <si>
    <t>Montalvo Cordova Juliana</t>
  </si>
  <si>
    <t>MANUEL-ANA MARIA</t>
  </si>
  <si>
    <t>63696318 abuela 4414764</t>
  </si>
  <si>
    <t>CLASES EXTRA :</t>
  </si>
  <si>
    <t>CH</t>
  </si>
  <si>
    <t>AL</t>
  </si>
  <si>
    <t>FR</t>
  </si>
  <si>
    <t>INS</t>
  </si>
  <si>
    <t>Goyzueta Monroy Samuel Elias</t>
  </si>
  <si>
    <t>SAMUEL-ADRIANA</t>
  </si>
  <si>
    <t>SAMUEL GOYZUETA</t>
  </si>
  <si>
    <t>67400273P/67408497M</t>
  </si>
  <si>
    <t>miercoles, 6 de enero de 2020</t>
  </si>
  <si>
    <t xml:space="preserve">Vidaurre Galindo Salvador </t>
  </si>
  <si>
    <t>MARCELO-M LILIANA</t>
  </si>
  <si>
    <t>miercoles, 8 de enero de 2020</t>
  </si>
  <si>
    <t>2º Sec A</t>
  </si>
  <si>
    <t>MAT-4TO P</t>
  </si>
  <si>
    <t>Polo Bustillos Luca Matias-Julietta</t>
  </si>
  <si>
    <t>Jueves, 8 de enero de 2020</t>
  </si>
  <si>
    <t>ADQUISICIÓN DE SEGURO CONTRA ACCIDENTES</t>
  </si>
  <si>
    <t>N°</t>
  </si>
  <si>
    <t>FAMILIA</t>
  </si>
  <si>
    <t>CANTIDAD</t>
  </si>
  <si>
    <t>MONTO</t>
  </si>
  <si>
    <t>OBSERVACIONES</t>
  </si>
  <si>
    <t>2ºP - 1º Sec</t>
  </si>
  <si>
    <t>2(839)</t>
  </si>
  <si>
    <t>70715105m/4281087c</t>
  </si>
  <si>
    <t>Lopez Suxo Caué</t>
  </si>
  <si>
    <t>2ºsecundaria</t>
  </si>
  <si>
    <t>2do-5to sec</t>
  </si>
  <si>
    <t>Ponce Zurita Andrea Paola-Diego Alejandro</t>
  </si>
  <si>
    <t>JOSE LUIS-NEIDA</t>
  </si>
  <si>
    <t>NEIDA ZURITA</t>
  </si>
  <si>
    <t>79388313p/70753788m</t>
  </si>
  <si>
    <t>lunes,20 de enero de 2020</t>
  </si>
  <si>
    <t>secundaria</t>
  </si>
  <si>
    <t>Padilla Alonso Drusila Fe</t>
  </si>
  <si>
    <t>MOISES-VERONICA</t>
  </si>
  <si>
    <t>72775610p/74327297m</t>
  </si>
  <si>
    <t>lunes, 20 de enero de 2020</t>
  </si>
  <si>
    <t>2do SEC</t>
  </si>
  <si>
    <t>Cabezas Villagra Samuel Enrique</t>
  </si>
  <si>
    <t>ALVARO-INGRID</t>
  </si>
  <si>
    <t>INGRID VILLAGRA</t>
  </si>
  <si>
    <t>72205647m/4248478C</t>
  </si>
  <si>
    <t>DIEGO ZUÑIGA</t>
  </si>
  <si>
    <t>BETSY - RODOLFO</t>
  </si>
  <si>
    <t>Paravicini Espada Aimi Diana</t>
  </si>
  <si>
    <t>XIMENA - CARLOS</t>
  </si>
  <si>
    <t>LEYTON</t>
  </si>
  <si>
    <t>76443433m/68508261p</t>
  </si>
  <si>
    <t>2º Sec B</t>
  </si>
  <si>
    <t>MARCO ANTONIO SALINAS PEREIRA</t>
  </si>
  <si>
    <t>Betti Goitia Genaro Emanuel - Isis</t>
  </si>
  <si>
    <t>Inic I - 1ºPrim</t>
  </si>
  <si>
    <t>DELGADILLO</t>
  </si>
  <si>
    <t>76984599m/4413397c</t>
  </si>
  <si>
    <t>Vallejo Molina Mateo Andrés</t>
  </si>
  <si>
    <t>JAVIER VALLEJO</t>
  </si>
  <si>
    <t>70370724m/71264728p/4251408c</t>
  </si>
  <si>
    <t>Rojas Gabriel Emanuel</t>
  </si>
  <si>
    <t>ROXANA</t>
  </si>
  <si>
    <t>76965070m</t>
  </si>
  <si>
    <t xml:space="preserve">2º Sec </t>
  </si>
  <si>
    <t>GABRIEL- ALEJANDRA</t>
  </si>
  <si>
    <t>ARO</t>
  </si>
  <si>
    <t>67437931p/78365048m</t>
  </si>
  <si>
    <t>3ºp - 1º Sec</t>
  </si>
  <si>
    <t>FERNANDO REVOLLO</t>
  </si>
  <si>
    <t>Campos Hermosa Ayar Ulises</t>
  </si>
  <si>
    <t>WARA - JORGE</t>
  </si>
  <si>
    <t>FERNANDEZ</t>
  </si>
  <si>
    <t>68515643m/72219643p/4248620c</t>
  </si>
  <si>
    <t>I2 - 5º p</t>
  </si>
  <si>
    <t>2(371)</t>
  </si>
  <si>
    <t xml:space="preserve">1º Sec </t>
  </si>
  <si>
    <t>Block Vargas Sara Catalina</t>
  </si>
  <si>
    <t>JUAN ALBERTO BLOCK MERRITT</t>
  </si>
  <si>
    <t>78362139m</t>
  </si>
  <si>
    <t>4º SEC</t>
  </si>
  <si>
    <t>Tibiletti Sejas Maria Fiorella</t>
  </si>
  <si>
    <t>JAVIER MATAS AYALA</t>
  </si>
  <si>
    <t>71770715p/4222488c/76405769ab</t>
  </si>
  <si>
    <t>2ºp-1ºS-2ºs</t>
  </si>
  <si>
    <t>DE LOS RIOS</t>
  </si>
  <si>
    <t>72796011m/76427353p</t>
  </si>
  <si>
    <t>ANGELA AVILA</t>
  </si>
  <si>
    <t>79783816m/70717798p</t>
  </si>
  <si>
    <t>M-4ºp-1s</t>
  </si>
  <si>
    <t>Cosio Soruco Bruno - Diego - Marlen Beatriz</t>
  </si>
  <si>
    <t>TELMA - FERNANDO</t>
  </si>
  <si>
    <t>GRISSEL DAZA</t>
  </si>
  <si>
    <t>1ºPrim</t>
  </si>
  <si>
    <t>MACHADO</t>
  </si>
  <si>
    <t>70743210m/4795810c/4443671t</t>
  </si>
  <si>
    <t>DANIELA</t>
  </si>
  <si>
    <t>DANIELA GUARDIA PAREDES</t>
  </si>
  <si>
    <t>72288662m</t>
  </si>
  <si>
    <t>I2-6ºp-2ºs</t>
  </si>
  <si>
    <t>70578898p/70392525m</t>
  </si>
  <si>
    <t>CABALLERO</t>
  </si>
  <si>
    <t>KAREN - RAMIRO</t>
  </si>
  <si>
    <t>BAYA</t>
  </si>
  <si>
    <t>77960090m/78331228p</t>
  </si>
  <si>
    <t>Bellido Villegas Dasha</t>
  </si>
  <si>
    <t>1º SEC</t>
  </si>
  <si>
    <t>CLAUDIA - RAMIRO</t>
  </si>
  <si>
    <t>69814291m</t>
  </si>
  <si>
    <t>I2 - 4ºp</t>
  </si>
  <si>
    <t>JORGE ANTONIO MAYORGA LAZACANO</t>
  </si>
  <si>
    <t>77923666m/62661804p/4405798c</t>
  </si>
  <si>
    <t>MONICA VILLARROEL</t>
  </si>
  <si>
    <t>ADELAIDA - MAURICIO</t>
  </si>
  <si>
    <t>RICARDO ROCHA</t>
  </si>
  <si>
    <t>JUAN CARLOS GOMEZ</t>
  </si>
  <si>
    <t>71440500p/67599611m/4666853c</t>
  </si>
  <si>
    <t>GONZALO COCA</t>
  </si>
  <si>
    <t>Veizaga  Aguilar Genesis Antonella</t>
  </si>
  <si>
    <t>RHOMINA - RICHARD</t>
  </si>
  <si>
    <t>VEIZAGA</t>
  </si>
  <si>
    <t>70390381m/70389385p</t>
  </si>
  <si>
    <t>Jimenez Quiroga Laura</t>
  </si>
  <si>
    <t>ANA - CHRISTIAN</t>
  </si>
  <si>
    <t>JIMENEZ</t>
  </si>
  <si>
    <t>72733704m/70350212p</t>
  </si>
  <si>
    <t>Escobar Bustillos Kiara Monserrat</t>
  </si>
  <si>
    <t>KELLYN</t>
  </si>
  <si>
    <t>REYES</t>
  </si>
  <si>
    <t>77490534m</t>
  </si>
  <si>
    <t>VERA</t>
  </si>
  <si>
    <t>72202748p/79360787m/4410344</t>
  </si>
  <si>
    <t>WALDO RODRIGUEZ</t>
  </si>
  <si>
    <t>Salinas Urquidi Octavio - Ignacio</t>
  </si>
  <si>
    <t>ARACELLY - GROBER</t>
  </si>
  <si>
    <t>SALINAS</t>
  </si>
  <si>
    <t>76400400m/76400040p</t>
  </si>
  <si>
    <t>Choque Vega Mayte - Mario - Maria</t>
  </si>
  <si>
    <t>ANA - MARIO</t>
  </si>
  <si>
    <t>MARIO RAMIRO CHOQUE</t>
  </si>
  <si>
    <t>70751369m/71479267p</t>
  </si>
  <si>
    <t>77490248m</t>
  </si>
  <si>
    <t>MIGUEL FERNANDEZ</t>
  </si>
  <si>
    <t>Quiroga Guerra Kael Abdel - Shanna Keyla</t>
  </si>
  <si>
    <t>Inicial 1-4ºp</t>
  </si>
  <si>
    <t>BENITEZ ELVA</t>
  </si>
  <si>
    <t>Inicial 1 - 2ºs</t>
  </si>
  <si>
    <t>Orellana Bautista Herberth - Alvaro</t>
  </si>
  <si>
    <t>RUTH - ALVARO</t>
  </si>
  <si>
    <t>Medina Maldonado Ericka Sophia</t>
  </si>
  <si>
    <t>GILDA ERICK</t>
  </si>
  <si>
    <t>GILDA MALDONADO</t>
  </si>
  <si>
    <t>72766881m/72782428p</t>
  </si>
  <si>
    <t>CLAUDIA BOTTEGA</t>
  </si>
  <si>
    <t>Paz Santa Cruz Antonio Francisco - Natalia Mariana</t>
  </si>
  <si>
    <t>MARIA CRISTINA SANTA CRUZ</t>
  </si>
  <si>
    <t>5ºp - 3ºs</t>
  </si>
  <si>
    <t>SILVIA - ANDRES</t>
  </si>
  <si>
    <t>Mendoza Padilla Edward Andres</t>
  </si>
  <si>
    <t>JENNY - EDWARD</t>
  </si>
  <si>
    <t>EDWARD MENDOZA</t>
  </si>
  <si>
    <t>70746083m/77917727p</t>
  </si>
  <si>
    <t>GALVEZ</t>
  </si>
  <si>
    <t>77273827m/76163034p</t>
  </si>
  <si>
    <t>Almanza Merida Alejandra</t>
  </si>
  <si>
    <t>ZELMY - RODRIGO</t>
  </si>
  <si>
    <t>MERIDA</t>
  </si>
  <si>
    <t>79794429m/70743793p</t>
  </si>
  <si>
    <t>LUCIANO</t>
  </si>
  <si>
    <t>72718973p</t>
  </si>
  <si>
    <t>1ºp - 4ºs</t>
  </si>
  <si>
    <t>1º - 3ºp - 5ºp</t>
  </si>
  <si>
    <t>Vasquez Guzman Kori Sumeya</t>
  </si>
  <si>
    <t>FERNANDA - GUILLERMO</t>
  </si>
  <si>
    <t>FERNANDA GUZMAN</t>
  </si>
  <si>
    <t>69531933m</t>
  </si>
  <si>
    <t>1ro PRIM</t>
  </si>
  <si>
    <t>VANIA DE LA ZERDA</t>
  </si>
  <si>
    <t>4to Prim</t>
  </si>
  <si>
    <t>Benavidez Ruiz Helen Gabriela</t>
  </si>
  <si>
    <t>JUAN MIGUEL-ESTEFANIA</t>
  </si>
  <si>
    <t>JUAN MIGUEL BENAVIDEZ GUTIERREZ</t>
  </si>
  <si>
    <t>70303477p/60378712m</t>
  </si>
  <si>
    <t>INICIAL 2</t>
  </si>
  <si>
    <t>Patiño Gonzalez Benjamin Johan</t>
  </si>
  <si>
    <t>YUAN-CAROL</t>
  </si>
  <si>
    <t>PATIÑO</t>
  </si>
  <si>
    <t>72706506p/79763646m</t>
  </si>
  <si>
    <t>Garcia Cespedes Valentina Hemily</t>
  </si>
  <si>
    <t>HECTOR-ANA MILKA</t>
  </si>
  <si>
    <t>72201210P/70718548M</t>
  </si>
  <si>
    <t>5ºp-4ºs-6ºs</t>
  </si>
  <si>
    <t xml:space="preserve">1ºB 3º Sec </t>
  </si>
  <si>
    <t>martes,21 de enero de 2020</t>
  </si>
  <si>
    <t>2º - 6º Sec</t>
  </si>
  <si>
    <t>RUTH - EDGAR</t>
  </si>
  <si>
    <t>ORTUÑO</t>
  </si>
  <si>
    <t>79973630m/70373626p/4540048c</t>
  </si>
  <si>
    <t>61680697m/72735458p/4284809c</t>
  </si>
  <si>
    <t>Moncayo Ergueta Fabian - Fabricio</t>
  </si>
  <si>
    <t>HEYDI - DANIEL</t>
  </si>
  <si>
    <t>72214488m/72266111p/4792413c</t>
  </si>
  <si>
    <t>ROMULO-DEBBIE</t>
  </si>
  <si>
    <t>ROMULO ROJAS</t>
  </si>
  <si>
    <t>ANA LIA - JOSE ANTONIO</t>
  </si>
  <si>
    <t>CAMACHO</t>
  </si>
  <si>
    <t>75465431P/70773664M/4240323C</t>
  </si>
  <si>
    <t>SHIRLEY ROJAS SOTO</t>
  </si>
  <si>
    <t>70788951m/72245653p/4369704c</t>
  </si>
  <si>
    <t>RENE ZURITA</t>
  </si>
  <si>
    <t>MARCELA - LEONARDO</t>
  </si>
  <si>
    <t>ALEYDA - GUNNAR</t>
  </si>
  <si>
    <t>Arias Mancilla Renata Sabrina - Fernanda Antonella</t>
  </si>
  <si>
    <t>YRENE - AMERICO</t>
  </si>
  <si>
    <t>YRENE MANCILLA</t>
  </si>
  <si>
    <t>71779887m/67573940p/4023654c</t>
  </si>
  <si>
    <t>2(823)</t>
  </si>
  <si>
    <t>2(364)</t>
  </si>
  <si>
    <t>Camacho Vargas Antonela Valery</t>
  </si>
  <si>
    <t>MELVY - ABELARDO</t>
  </si>
  <si>
    <t>70308893M/70736082P/4660814C</t>
  </si>
  <si>
    <t xml:space="preserve">6ºp - 2ºs </t>
  </si>
  <si>
    <t>Perez Rocabado Jorge Adrian - Andre Sebastian</t>
  </si>
  <si>
    <t>ERICK PEREZ</t>
  </si>
  <si>
    <t xml:space="preserve"> 1º - 4ºPrim</t>
  </si>
  <si>
    <t>Parrilla Salazar Andre Giuliano - Diego</t>
  </si>
  <si>
    <t>I1 - 1º Sec</t>
  </si>
  <si>
    <t>EVELIN - DIEGO</t>
  </si>
  <si>
    <t>PARRILLA</t>
  </si>
  <si>
    <t>77344370m/77993016p</t>
  </si>
  <si>
    <t>Mat -3ºp</t>
  </si>
  <si>
    <t>ANDREA - JUAN CARLOS</t>
  </si>
  <si>
    <t>75982000m/67220791p/4227671c</t>
  </si>
  <si>
    <t>I2 - 1ºs</t>
  </si>
  <si>
    <t>HINOJOSA</t>
  </si>
  <si>
    <t>ANTONIETA GALARZA</t>
  </si>
  <si>
    <t>77909621m/73773397p</t>
  </si>
  <si>
    <t>2º - 3º Prim</t>
  </si>
  <si>
    <t>JUSTINA - ROBERT</t>
  </si>
  <si>
    <t>BRIANCON</t>
  </si>
  <si>
    <t>Quinteros Cori Nayra Brizeyka</t>
  </si>
  <si>
    <t>NELSSY - AMERICO</t>
  </si>
  <si>
    <t>NELSSY CORI</t>
  </si>
  <si>
    <t>70678894m/72224924p</t>
  </si>
  <si>
    <t>Canedo Mendoza Juan Marco</t>
  </si>
  <si>
    <t>LESLIE - MARCO</t>
  </si>
  <si>
    <t>76490242m/77423319p</t>
  </si>
  <si>
    <t>CLADERA</t>
  </si>
  <si>
    <t>Lopez Castro Matias Karim</t>
  </si>
  <si>
    <t>CINTHYA - CARLOS</t>
  </si>
  <si>
    <t>72735614m/67599307p</t>
  </si>
  <si>
    <t>MAXIMO AYALA</t>
  </si>
  <si>
    <t>M - 2ºp - 4ºp</t>
  </si>
  <si>
    <t xml:space="preserve">Numbela Saavedra Fabrizio - Agustín - Rafael </t>
  </si>
  <si>
    <t>77437888m/76938737p/4302553c</t>
  </si>
  <si>
    <t>70799959m/70346158p/4661777c</t>
  </si>
  <si>
    <t>Lovell Koch Matias Douglas</t>
  </si>
  <si>
    <t>ANITA - ADRIAN</t>
  </si>
  <si>
    <t>76954681m/76954699p</t>
  </si>
  <si>
    <t>IRIGOYEN</t>
  </si>
  <si>
    <t>76205498m/76862742p</t>
  </si>
  <si>
    <t>Taborga Fernandez Dayne - Hayley</t>
  </si>
  <si>
    <t>CECILIA - RAMIRO</t>
  </si>
  <si>
    <t>69441585m/78345746p</t>
  </si>
  <si>
    <t>Siles Yampa Benjamin - Ariana Valeria</t>
  </si>
  <si>
    <t>I2 - 1º Prim</t>
  </si>
  <si>
    <t>WILBER SILES CASTRO</t>
  </si>
  <si>
    <t>1ºs-2ºs-4ºs-1ºp</t>
  </si>
  <si>
    <t>OSCAR CAMPANINI</t>
  </si>
  <si>
    <t>Castellon Briana-Adrian-Maya - Campanini Samanta</t>
  </si>
  <si>
    <t>Morales Sanchez De Lozada Ambar - Bacchi Gaia</t>
  </si>
  <si>
    <t>LUZ MARIA - GUILLERMO</t>
  </si>
  <si>
    <t>LUZ MARIA SANCHEZ DE LOZADA</t>
  </si>
  <si>
    <t>76330007m/67895010p</t>
  </si>
  <si>
    <t>Cordero Quiroga Anghelo - Keyla</t>
  </si>
  <si>
    <t>IVELIS - ANGHELO</t>
  </si>
  <si>
    <t>ANGHELO CORDERO PINTO</t>
  </si>
  <si>
    <t>65311884m/70794212p/4011724c</t>
  </si>
  <si>
    <t>EDUARDO ROCHA CABRERA</t>
  </si>
  <si>
    <t>GALINDO</t>
  </si>
  <si>
    <t>CLAUDIA FLORES</t>
  </si>
  <si>
    <t>75497611m</t>
  </si>
  <si>
    <t>Villarreal Pariente Matias Sebastian</t>
  </si>
  <si>
    <t>ELIANA - JAVIER</t>
  </si>
  <si>
    <t>ELIANA PARIENTE</t>
  </si>
  <si>
    <t>76400687m</t>
  </si>
  <si>
    <t>Inicial 1 - 1ºp</t>
  </si>
  <si>
    <t>ESPINOZA GILDER</t>
  </si>
  <si>
    <t>LORENA ANZOLEAGA</t>
  </si>
  <si>
    <t>78300066m/4229461c</t>
  </si>
  <si>
    <t>GLADYS - RICARDO</t>
  </si>
  <si>
    <t>67575690m/67540948p</t>
  </si>
  <si>
    <t xml:space="preserve">MARIA - DILMAR </t>
  </si>
  <si>
    <t>MARIA CAUSSIN</t>
  </si>
  <si>
    <t>78343863p/70782512m/4422465c</t>
  </si>
  <si>
    <t>JOSE ALFONSO LOREDO LEAL</t>
  </si>
  <si>
    <t>65327555P/76917975M</t>
  </si>
  <si>
    <t>Martes, 21 de enero de 2020</t>
  </si>
  <si>
    <t>1º - 5º Prim</t>
  </si>
  <si>
    <t>Montan Lean Kyra - Walter Kayron</t>
  </si>
  <si>
    <t>WALTER - JENNIFER</t>
  </si>
  <si>
    <t>Mendoza Pereira Simoné - Rafaella</t>
  </si>
  <si>
    <t>1º - 2ºSec</t>
  </si>
  <si>
    <t>CLAUDIA - ENRIQUE</t>
  </si>
  <si>
    <t>CLAUDIA CAMACHO</t>
  </si>
  <si>
    <t>I2 - 3ºp-</t>
  </si>
  <si>
    <t>AUSBERTO ZEMA</t>
  </si>
  <si>
    <t>ERIKA - MILTHON</t>
  </si>
  <si>
    <t>MONICA - GABRIEL</t>
  </si>
  <si>
    <t>1º - 2º Sec</t>
  </si>
  <si>
    <t>RAMON MOYA</t>
  </si>
  <si>
    <t>DUSAM NOTA</t>
  </si>
  <si>
    <t>ALEJANDRA - CARLOS</t>
  </si>
  <si>
    <t>GRUEL DAVALOS CARLOS</t>
  </si>
  <si>
    <t>70358210m/70355479p</t>
  </si>
  <si>
    <t>CICELY - FREDDY</t>
  </si>
  <si>
    <t>75989387m/69523674p/4223985c</t>
  </si>
  <si>
    <t>Reynolds Arispe Vanessa Crystal</t>
  </si>
  <si>
    <t>ERIKA - DEMBER</t>
  </si>
  <si>
    <t>SILES</t>
  </si>
  <si>
    <t>75474972m/70772725p</t>
  </si>
  <si>
    <t>Quiroga Bazoalto Luana Daniela</t>
  </si>
  <si>
    <t>JAkELINE - CARLOS</t>
  </si>
  <si>
    <t>61612442m/70344206p/4241752c</t>
  </si>
  <si>
    <t>Villarroel Meneses Emily Adela</t>
  </si>
  <si>
    <t>CIRIAN - ARIEL</t>
  </si>
  <si>
    <t>ARIEL VILLARROEL</t>
  </si>
  <si>
    <t>72219340m/72293690p</t>
  </si>
  <si>
    <t>CARLA - ESTEBAN</t>
  </si>
  <si>
    <t>79353321m/70731790p</t>
  </si>
  <si>
    <t>Camacho Garrón Daniel Alejandro</t>
  </si>
  <si>
    <t>MARCO CAMACHO</t>
  </si>
  <si>
    <t>4º - 6º Sec</t>
  </si>
  <si>
    <t>SIGFRIDO ARANDIA</t>
  </si>
  <si>
    <t>6ºp - 1º Sec</t>
  </si>
  <si>
    <t>ERIKA - ISRAEL</t>
  </si>
  <si>
    <t>Galindo Valencia Lucia - Andrés</t>
  </si>
  <si>
    <t>Mat-1ºp</t>
  </si>
  <si>
    <t>Monrroy Rojas Nicol Divanelly</t>
  </si>
  <si>
    <t>ROMELIO - NANCY</t>
  </si>
  <si>
    <t>NANCY ROJAS</t>
  </si>
  <si>
    <t>69542626m/72281861p</t>
  </si>
  <si>
    <t>CLAUDIA - WALTER</t>
  </si>
  <si>
    <t>CLAUDIA MENDEZ</t>
  </si>
  <si>
    <t>VANIA VARGAS</t>
  </si>
  <si>
    <t>VALERIA MERIDA</t>
  </si>
  <si>
    <t>DENNIS PANDO</t>
  </si>
  <si>
    <t>1ºp - 5ºp - 5ºs</t>
  </si>
  <si>
    <t>KARLA LORENA ROJAS TENORIO</t>
  </si>
  <si>
    <t>72748501m/68545992p/4248925c</t>
  </si>
  <si>
    <t>PRIMERO</t>
  </si>
  <si>
    <t>De Pardo Moscoso Liam Luciano</t>
  </si>
  <si>
    <t>70734610m/74162569p</t>
  </si>
  <si>
    <t>NATALY - PAULO</t>
  </si>
  <si>
    <t>PAULO DE PARDO</t>
  </si>
  <si>
    <t>CARLA OROZA</t>
  </si>
  <si>
    <t>2ºs-I1-I2</t>
  </si>
  <si>
    <t>Morant Cuellar Carlos/Ticona Cuellar Mariano - Aneliz</t>
  </si>
  <si>
    <t>MARIANO - ANGELA</t>
  </si>
  <si>
    <t>ROSSANA HURTADO</t>
  </si>
  <si>
    <t>MANDY - GERMAN</t>
  </si>
  <si>
    <t>72778812m/72736147p</t>
  </si>
  <si>
    <t>KARINA - JAIME</t>
  </si>
  <si>
    <t>BOLIVAR</t>
  </si>
  <si>
    <t>76474186m/71730242p</t>
  </si>
  <si>
    <t>ROCIO SANCHEZ</t>
  </si>
  <si>
    <t>Taya Carmona Sofia Keiko</t>
  </si>
  <si>
    <t>ANDREA - JUAN PABLO</t>
  </si>
  <si>
    <t>MIGUEL CARMONA</t>
  </si>
  <si>
    <t>70344613m</t>
  </si>
  <si>
    <t>4523880C/60721248P</t>
  </si>
  <si>
    <t>jueves, 23 de enero de 2020</t>
  </si>
  <si>
    <t>CLAUDIA XIMENA LARRAZABAL</t>
  </si>
  <si>
    <t>67578374m</t>
  </si>
  <si>
    <t>WALDO CHOQUE</t>
  </si>
  <si>
    <t>NEYDDY - ROMER</t>
  </si>
  <si>
    <t>72204969m/71441774p</t>
  </si>
  <si>
    <t>CECILIA - REDRIGO</t>
  </si>
  <si>
    <t>SEGUROLA</t>
  </si>
  <si>
    <t>GARCÍA</t>
  </si>
  <si>
    <t>67445519p/67474872abu</t>
  </si>
  <si>
    <t>Limachi Reynolds Sebastian</t>
  </si>
  <si>
    <t>TELMA - FIDEL</t>
  </si>
  <si>
    <t>LIMACHI</t>
  </si>
  <si>
    <t>76454355m/77339586p/4501469c</t>
  </si>
  <si>
    <t>Shanks Morales Amaru Fletcher - Joaquin Takiri</t>
  </si>
  <si>
    <t>JEAN CARLA - MICHAEL</t>
  </si>
  <si>
    <t>75926555m/69925533p</t>
  </si>
  <si>
    <t>Mercado Gomez Laura Luana</t>
  </si>
  <si>
    <t>LIZA - VICTOR</t>
  </si>
  <si>
    <t>MANUEL GOMEZ</t>
  </si>
  <si>
    <t>79967909m/70370898p</t>
  </si>
  <si>
    <t>Meneses Chavare Dylan Mateo</t>
  </si>
  <si>
    <t>JUAN-ADELA</t>
  </si>
  <si>
    <t>EVA URIBE</t>
  </si>
  <si>
    <t>68500826P/727778278M</t>
  </si>
  <si>
    <t>JULIO PEÑARRIETA</t>
  </si>
  <si>
    <t>ALEJANDRA GUMUCIO</t>
  </si>
  <si>
    <t>GABRIELA SANJINEZ</t>
  </si>
  <si>
    <t>2º - 5ºPrim</t>
  </si>
  <si>
    <t>3º - 5ºSec</t>
  </si>
  <si>
    <t>Moreno Jimenez Paola Graciela - Daniel German</t>
  </si>
  <si>
    <t>CELINA - GERMAN</t>
  </si>
  <si>
    <t>4º - 5º Prim</t>
  </si>
  <si>
    <t>SANTIVAÑEZ</t>
  </si>
  <si>
    <t>ARJICONS SRL</t>
  </si>
  <si>
    <t>VARGAS</t>
  </si>
  <si>
    <t>Castro Humphries Hadasa</t>
  </si>
  <si>
    <t>MICHELLE - GABRIEL</t>
  </si>
  <si>
    <t>GABRIEL CASTRO ORTEGA</t>
  </si>
  <si>
    <t>77914690m/77900285p</t>
  </si>
  <si>
    <t>Inical 1</t>
  </si>
  <si>
    <t>4450024c</t>
  </si>
  <si>
    <t>Ferreira Ordoñez David Emanuel</t>
  </si>
  <si>
    <t>LINETTE - ROBERTO</t>
  </si>
  <si>
    <t>70757810m/70754559p</t>
  </si>
  <si>
    <t>2º -  5º Prim</t>
  </si>
  <si>
    <t xml:space="preserve">Covarrubias Maldonado Matias - Valentina </t>
  </si>
  <si>
    <t>ANA LORENA</t>
  </si>
  <si>
    <t>LOURDES ENCINAS</t>
  </si>
  <si>
    <t>I2 - 4º Prim</t>
  </si>
  <si>
    <t>Chacón Pérez Bruno Alejandro</t>
  </si>
  <si>
    <t>MAYRA - EVER</t>
  </si>
  <si>
    <t>PEREZ</t>
  </si>
  <si>
    <t>60366015m/79363509p</t>
  </si>
  <si>
    <t>1º - 6ºp</t>
  </si>
  <si>
    <t>TERAN</t>
  </si>
  <si>
    <t>4ºp-6ºp-3ºs</t>
  </si>
  <si>
    <t>77923456m/78345678p</t>
  </si>
  <si>
    <t>Montaño Vidal Khaleesi Rafaela</t>
  </si>
  <si>
    <t>MARIELA - ALBERTO</t>
  </si>
  <si>
    <t>79732154m/70716404p</t>
  </si>
  <si>
    <t>BECERRA LUDWING</t>
  </si>
  <si>
    <t>70768677m/76401141p/4443067c</t>
  </si>
  <si>
    <t>WALTER REQUENA</t>
  </si>
  <si>
    <t>79340415m</t>
  </si>
  <si>
    <t>RIVERA</t>
  </si>
  <si>
    <t>MARCELA - JOSE</t>
  </si>
  <si>
    <t>JOSE VASQUEZ</t>
  </si>
  <si>
    <t>70306707p/70301991m</t>
  </si>
  <si>
    <t>MONTES</t>
  </si>
  <si>
    <t>72299420m/72787108p/4248966c</t>
  </si>
  <si>
    <t>ERIKA STEFAN</t>
  </si>
  <si>
    <t>E10135508</t>
  </si>
  <si>
    <t>77452401m</t>
  </si>
  <si>
    <t>Orellana Stefan Gustavo - Guillermo - David</t>
  </si>
  <si>
    <t>4ºp - 3ºs</t>
  </si>
  <si>
    <t>2º - 4ºPrim</t>
  </si>
  <si>
    <t>BORDA</t>
  </si>
  <si>
    <t>Condori Huanca Natalia Elizabeth</t>
  </si>
  <si>
    <t>ELY HUANCA SARAVIA</t>
  </si>
  <si>
    <t>77916980m/76450117p/4280207c</t>
  </si>
  <si>
    <t>ORIHUELA</t>
  </si>
  <si>
    <t>Zambrana Alvarez Santiago Lukas Mair</t>
  </si>
  <si>
    <t>NINOCHKA - PABLO</t>
  </si>
  <si>
    <t>77420505m/77421215p</t>
  </si>
  <si>
    <t>ALEJANDRA - RAMIRO</t>
  </si>
  <si>
    <t>CLAUDIA QUISPE</t>
  </si>
  <si>
    <t>CLAUDIA - ROBERTO</t>
  </si>
  <si>
    <t>ROBERTO MANCHEGO</t>
  </si>
  <si>
    <t>68504112m/75970723p</t>
  </si>
  <si>
    <t>Torrico Vidaurre Fabio Leandro</t>
  </si>
  <si>
    <t xml:space="preserve">JANNETH - PABLO </t>
  </si>
  <si>
    <t>76466707p/4408633c</t>
  </si>
  <si>
    <t>Mercado Quiroga Rodrigo David - Nicolas Andre</t>
  </si>
  <si>
    <t>Torrico Guillen Nadira Rafaela - Naihara Jaylien</t>
  </si>
  <si>
    <t>CLARIZA - FRANKLIN</t>
  </si>
  <si>
    <t>Inicial 2 - 2ºp</t>
  </si>
  <si>
    <t>I1 - 6º Prim</t>
  </si>
  <si>
    <t>62616711m/68462255p/4795082c</t>
  </si>
  <si>
    <t>ISABEL - DAVID</t>
  </si>
  <si>
    <t>72273703m/60740205p</t>
  </si>
  <si>
    <t>Montaño Rossell Valentin Santiago - Natalia Luciana</t>
  </si>
  <si>
    <t>Arze Isabella</t>
  </si>
  <si>
    <t>YIN LING - JORGE</t>
  </si>
  <si>
    <t>RICARDO ARZE</t>
  </si>
  <si>
    <t>ROSARIO - GUSTAVO</t>
  </si>
  <si>
    <t>Inicial 1 - 3ºp</t>
  </si>
  <si>
    <t>CLAUDIA MORALES</t>
  </si>
  <si>
    <t>VERONICA - MOISES</t>
  </si>
  <si>
    <t>74327297p/72775610m</t>
  </si>
  <si>
    <t>3º - 6º Prim</t>
  </si>
  <si>
    <t>76404570m/61791901p/4038158c</t>
  </si>
  <si>
    <t>60721246m/70719968p/4018879c</t>
  </si>
  <si>
    <t>FRANCO POLO</t>
  </si>
  <si>
    <t>FRANZ QUIROZ</t>
  </si>
  <si>
    <t>Fernandez Perez Enrique Alejandro-Gabriel Ignacio</t>
  </si>
  <si>
    <t>I2-1ro Prim</t>
  </si>
  <si>
    <t>ADOLFO-ANELISSE</t>
  </si>
  <si>
    <t>ANELISSE PEREZ</t>
  </si>
  <si>
    <t>68493839P/72761943M</t>
  </si>
  <si>
    <t>1ro Prim-1ro Sec</t>
  </si>
  <si>
    <t>JAQUELINE VANESSA ROMERO SOTO</t>
  </si>
  <si>
    <t>5ºA Prim</t>
  </si>
  <si>
    <t>Villarroel Vlahovic Novak Alberto</t>
  </si>
  <si>
    <t>JIMMY-NADJA</t>
  </si>
  <si>
    <t>JIMMY VILLARROEL</t>
  </si>
  <si>
    <t>79955666P/</t>
  </si>
  <si>
    <t>3ro Prima</t>
  </si>
  <si>
    <t>Vega Arnez Rafaela</t>
  </si>
  <si>
    <t>GREBI-MIRTA</t>
  </si>
  <si>
    <t>ARNEZ</t>
  </si>
  <si>
    <t>67599999P/71160905M</t>
  </si>
  <si>
    <t>Hinojosa Escobar Romina</t>
  </si>
  <si>
    <t>MAURICIO-CLAUDIA</t>
  </si>
  <si>
    <t>72714432P/72278183M</t>
  </si>
  <si>
    <t>5to de PRIM</t>
  </si>
  <si>
    <t>Obando Choque Jose Matias</t>
  </si>
  <si>
    <t>JUAN JOSE-LITZI</t>
  </si>
  <si>
    <t>LITZI DANITZA CHOQUE HIDALGO</t>
  </si>
  <si>
    <t>67202212P/67202230</t>
  </si>
  <si>
    <t>Boulocq Gabela Sebastian-Nicolas</t>
  </si>
  <si>
    <t>Inicial I-2ºA Prim</t>
  </si>
  <si>
    <t>3ºp - 3ºs</t>
  </si>
  <si>
    <t>2º Primaria</t>
  </si>
  <si>
    <t>Fernandez Sanchez Pedro Nicolas</t>
  </si>
  <si>
    <t>MARCO-MARLEN</t>
  </si>
  <si>
    <t>79731321P/79330589M</t>
  </si>
  <si>
    <t>Ini I II-1ºSec</t>
  </si>
  <si>
    <t>Ini I II-1ºPrim</t>
  </si>
  <si>
    <t>Rojas Vargas Sara-Caleb-Josue</t>
  </si>
  <si>
    <t>LUIS-NOHELIA</t>
  </si>
  <si>
    <t>72506600P/71521009M</t>
  </si>
  <si>
    <t>Buitrago Ortega M. Victoria-M. Emilia-Pedro</t>
  </si>
  <si>
    <t>1ro Sec 5to Sec</t>
  </si>
  <si>
    <t>Paredes Romero Juan Jose</t>
  </si>
  <si>
    <t>4º  Sec</t>
  </si>
  <si>
    <t>3º-4º-6ºPrim</t>
  </si>
  <si>
    <t xml:space="preserve">2º 5° Sec </t>
  </si>
  <si>
    <t>Inicial 2-1ro Prim</t>
  </si>
  <si>
    <t>Schlink Herbas Bruno Augusto</t>
  </si>
  <si>
    <t>INICIAL 1</t>
  </si>
  <si>
    <t>INI 1-3ºA Prim</t>
  </si>
  <si>
    <t>4to Sec</t>
  </si>
  <si>
    <t>Patzi Hinojosa Pablo</t>
  </si>
  <si>
    <t>RONALD-THIKA</t>
  </si>
  <si>
    <t>76446285P/76458625M/4248923C</t>
  </si>
  <si>
    <t xml:space="preserve"> 5ºs</t>
  </si>
  <si>
    <t>4225271c/76959933M</t>
  </si>
  <si>
    <t>2do PRIM</t>
  </si>
  <si>
    <t>Arellano Soliz Amy Fabiola</t>
  </si>
  <si>
    <t>AMILCAR-FAVIOLA</t>
  </si>
  <si>
    <t>FAVIOLA SOLIZ</t>
  </si>
  <si>
    <t>70738020P/70799025M</t>
  </si>
  <si>
    <t>BEATRIZ LIA</t>
  </si>
  <si>
    <t>4351366c/76453202P/76945653M</t>
  </si>
  <si>
    <t>Coronado Alvarez Renata Camila</t>
  </si>
  <si>
    <t>LUIS-JANNETH</t>
  </si>
  <si>
    <t>ALVAREZ</t>
  </si>
  <si>
    <t>72273437P/70763915M</t>
  </si>
  <si>
    <t>3ro de SEC</t>
  </si>
  <si>
    <t>Araoz Covarrubias Mateo Alejandro</t>
  </si>
  <si>
    <t>HENRY-CAROLA</t>
  </si>
  <si>
    <t>ARAOZ</t>
  </si>
  <si>
    <t>79706668P/70795685M</t>
  </si>
  <si>
    <t>3ºA Pri-5ºSec</t>
  </si>
  <si>
    <t>1ro-3º Pri</t>
  </si>
  <si>
    <t>MAURICIO GARRON</t>
  </si>
  <si>
    <t>1ro- 4ºp</t>
  </si>
  <si>
    <t>TABORGA</t>
  </si>
  <si>
    <t>MORALES</t>
  </si>
  <si>
    <t>HERNAN AYALA</t>
  </si>
  <si>
    <t>1ro de PRIM</t>
  </si>
  <si>
    <t>2º - 3 Sec</t>
  </si>
  <si>
    <t>Rojas Mora Matias-Thiago</t>
  </si>
  <si>
    <t>Inicial 1-2ºA Prim</t>
  </si>
  <si>
    <t>EDITH-FORTUNATO</t>
  </si>
  <si>
    <t>5º - 1º Sec</t>
  </si>
  <si>
    <t>Cespedes Ortega Anneli Kathleen</t>
  </si>
  <si>
    <t>ADRIAN-JHANEL</t>
  </si>
  <si>
    <t>74354972P/70360679M</t>
  </si>
  <si>
    <t>4º - 5º Sec</t>
  </si>
  <si>
    <t>1ºA Sec</t>
  </si>
  <si>
    <t>Quiñones Arispe Sofia Isabel</t>
  </si>
  <si>
    <t>JOSE DAVID-ANA</t>
  </si>
  <si>
    <t>QUIÑONES</t>
  </si>
  <si>
    <t>70799910P/60360000M</t>
  </si>
  <si>
    <t>I2-3ºp-5ºs</t>
  </si>
  <si>
    <t>1ro P-1ro,2do S</t>
  </si>
  <si>
    <t>Tarifa Zabalaga Jose Andres-Isaac Christian-Camila Kharys</t>
  </si>
  <si>
    <t>CHRISTIAN-CAROL</t>
  </si>
  <si>
    <t>71775557P/75900091M</t>
  </si>
  <si>
    <t>Cordova Morales Leonardo-Zoe</t>
  </si>
  <si>
    <t>Inicial 1-5ºA Prim</t>
  </si>
  <si>
    <t>3ro Primaria</t>
  </si>
  <si>
    <t>Salinas Suarez Jared Eliud - Jabes Duncan (TIPNIS)</t>
  </si>
  <si>
    <t>3º-5º-6ºP-1ro S</t>
  </si>
  <si>
    <t>4ºP-2º-4º-6ºS</t>
  </si>
  <si>
    <t>5ºA Prim-2do Sec</t>
  </si>
  <si>
    <t>6to Secundaria</t>
  </si>
  <si>
    <t>Zelada Conde Emma Jaziel</t>
  </si>
  <si>
    <t xml:space="preserve"> 70714241P/70726536M</t>
  </si>
  <si>
    <t>2ºB SEC</t>
  </si>
  <si>
    <t>WALDO LAGRABA</t>
  </si>
  <si>
    <t>Sanchez Zenteno Valentina Sophia</t>
  </si>
  <si>
    <t>BRENDA</t>
  </si>
  <si>
    <t>BRENDA ZENTENO BASTOCCI</t>
  </si>
  <si>
    <t>76924474M/75978444JAVIER/72729512MARCELA</t>
  </si>
  <si>
    <t>3ro-6to P-1ro S</t>
  </si>
  <si>
    <t>Dabdoub Roca Johanna-Jonathan-Galilea</t>
  </si>
  <si>
    <t>HENRY-ERICKA</t>
  </si>
  <si>
    <t>78400943P/78512376M</t>
  </si>
  <si>
    <t>5ºSEC</t>
  </si>
  <si>
    <t>Quiroga Arze Abril</t>
  </si>
  <si>
    <t>79764337M/4290987</t>
  </si>
  <si>
    <t>Flores Cruz Luciana Paula</t>
  </si>
  <si>
    <t>LEOPLODO-MARIELA</t>
  </si>
  <si>
    <t>LEOPOLDO FLORES</t>
  </si>
  <si>
    <t>79991675P/72578721M</t>
  </si>
  <si>
    <t>Merida Santiago Rodrigo</t>
  </si>
  <si>
    <t>CAROLINA</t>
  </si>
  <si>
    <t>79790229M/65367679TIA</t>
  </si>
  <si>
    <t>6ºp - 2ºs</t>
  </si>
  <si>
    <t>Antezana Rojas Ariana Guadalupe-Andrea Abril</t>
  </si>
  <si>
    <t>JAVIER-KARINA</t>
  </si>
  <si>
    <t>78333017P/78333019M/4424066C</t>
  </si>
  <si>
    <t>Salazar Bozo Stephanie Raquel</t>
  </si>
  <si>
    <t>MAURICIO-CECILIA</t>
  </si>
  <si>
    <t>77412551P/77412645 ANA CRISTINA</t>
  </si>
  <si>
    <t>5to PRIMARIA</t>
  </si>
  <si>
    <t>2do-3ro SEC</t>
  </si>
  <si>
    <t>3º-4ºPrim</t>
  </si>
  <si>
    <t>Maternal B</t>
  </si>
  <si>
    <t>Nuñez Escalera Iriana Valentina</t>
  </si>
  <si>
    <t>ESCALERA</t>
  </si>
  <si>
    <t xml:space="preserve">3ro-5to Prim </t>
  </si>
  <si>
    <t>Mercado Diaz Mateo Benjamin-Fabricio Edwin</t>
  </si>
  <si>
    <t>EDWIN-PAOLA</t>
  </si>
  <si>
    <t>72258242P/77912226M</t>
  </si>
  <si>
    <t>5to-6to PRIM</t>
  </si>
  <si>
    <t>Lijeron Vargas Adrian Rene-Alvaro Joaquin</t>
  </si>
  <si>
    <t>ALVARO-CARMEN</t>
  </si>
  <si>
    <t>LIJERON</t>
  </si>
  <si>
    <t>76455000P/76496669M</t>
  </si>
  <si>
    <t>Castro Oropeza Julieta Thais</t>
  </si>
  <si>
    <t>Herrera Herrera Katherine Melody</t>
  </si>
  <si>
    <t>5to Secundaria</t>
  </si>
  <si>
    <t>Vargas Fernandez Grover</t>
  </si>
  <si>
    <t>GROVER-MARIA EUGENIA</t>
  </si>
  <si>
    <t>70717110P/70716660M</t>
  </si>
  <si>
    <t>1ro Primaria</t>
  </si>
  <si>
    <t>6to Primaria</t>
  </si>
  <si>
    <t>Arze Puri Luis Diego</t>
  </si>
  <si>
    <t>EDWARD-JHOVANA</t>
  </si>
  <si>
    <t>79755556P/79737191M</t>
  </si>
  <si>
    <t>Roman Saavedra Ariana Montserrat</t>
  </si>
  <si>
    <t>ALEJANDRO-ROMMY</t>
  </si>
  <si>
    <t>ROMMY SAAVEDRA</t>
  </si>
  <si>
    <t>67598785P/67409078M</t>
  </si>
  <si>
    <t>Villalba Alarcon Marlon Luis</t>
  </si>
  <si>
    <t>LUCIO-SANDRA</t>
  </si>
  <si>
    <t>VILLALBA</t>
  </si>
  <si>
    <t>68468099P/73784546M</t>
  </si>
  <si>
    <t>Gonzales Antezana Emma</t>
  </si>
  <si>
    <t>DIEGO-INES</t>
  </si>
  <si>
    <t>DIEGO GONZALES</t>
  </si>
  <si>
    <t>76955266P/76955277M</t>
  </si>
  <si>
    <t>Palacios Argandoña Valentina</t>
  </si>
  <si>
    <t>BERMAN-YANEL</t>
  </si>
  <si>
    <t>ARGANDOÑA</t>
  </si>
  <si>
    <t>74576500P/745775500M</t>
  </si>
  <si>
    <t xml:space="preserve"> 6° Sec</t>
  </si>
  <si>
    <t>Rodriguez Guzman Sebastian</t>
  </si>
  <si>
    <t>Perez Vargas Santiago David</t>
  </si>
  <si>
    <t>PATRIK-GIANINA</t>
  </si>
  <si>
    <t>78339789P/60372022M</t>
  </si>
  <si>
    <t>Moraga Sarmiento Sebastian</t>
  </si>
  <si>
    <t>GABRIEL-ROCIO</t>
  </si>
  <si>
    <t>SARMIENTO</t>
  </si>
  <si>
    <t>63827256P/72222257M</t>
  </si>
  <si>
    <t>2do PRIMARIA</t>
  </si>
  <si>
    <t>I2 - 4ºs</t>
  </si>
  <si>
    <t>Heredia Santivañez Kassandra Veronica-Rebeca Alanna</t>
  </si>
  <si>
    <t>1ro de primaria</t>
  </si>
  <si>
    <t>Cabezas Zambrana Sarai Micaela</t>
  </si>
  <si>
    <t>HOMAR-NORMA</t>
  </si>
  <si>
    <t>CABEZAS</t>
  </si>
  <si>
    <t>72291277P/76953620M</t>
  </si>
  <si>
    <t>2ºp - 2ºs</t>
  </si>
  <si>
    <t>3ro de Primaria</t>
  </si>
  <si>
    <t>Orellana Alurralde Pablo Daniel</t>
  </si>
  <si>
    <t>69444445M/72207555P</t>
  </si>
  <si>
    <t>YUVINKA/JHON</t>
  </si>
  <si>
    <t>ORELLANA</t>
  </si>
  <si>
    <t>Inicial ll</t>
  </si>
  <si>
    <t>Escobar Verduguez Inti Joshua</t>
  </si>
  <si>
    <t>CARMEN VERDUGUEZ</t>
  </si>
  <si>
    <t>INTI-CARMEN</t>
  </si>
  <si>
    <t>70711716P/75998918M</t>
  </si>
  <si>
    <t xml:space="preserve">INICIAL </t>
  </si>
  <si>
    <t>1ro y 3ro Sec</t>
  </si>
  <si>
    <t>Flores Cespedes Aaron Tony- Brandon Fher</t>
  </si>
  <si>
    <t>OMAR-EDDITH</t>
  </si>
  <si>
    <t>76410930P/76410082M</t>
  </si>
  <si>
    <t xml:space="preserve">Gruel Saravia Alek Owen </t>
  </si>
  <si>
    <t>1º -</t>
  </si>
  <si>
    <t xml:space="preserve">LENNA </t>
  </si>
  <si>
    <t>SERGIO SAAVEDRA</t>
  </si>
  <si>
    <t>2do de Sec</t>
  </si>
  <si>
    <t>Ariel Sotomayor</t>
  </si>
  <si>
    <t>3ro Prim</t>
  </si>
  <si>
    <t>Santiago Jaldín</t>
  </si>
  <si>
    <t xml:space="preserve">Daza Adorno Isabelle Cristina </t>
  </si>
  <si>
    <t>I2</t>
  </si>
  <si>
    <t>Santiago Velasco</t>
  </si>
  <si>
    <t>Gonzales Capussiri Sarahi Jael</t>
  </si>
  <si>
    <t>LENNY</t>
  </si>
  <si>
    <t>79994551M</t>
  </si>
  <si>
    <t>3ro Sec</t>
  </si>
  <si>
    <t>Garcia Salazar Nicole Romaneth</t>
  </si>
  <si>
    <t>Lizarazu Skipper Elliot-Julia-Ellie</t>
  </si>
  <si>
    <t>Meneses Jordan Nicolas</t>
  </si>
  <si>
    <t>Meneses Velasco Santiago - Sara</t>
  </si>
  <si>
    <t>Mercado Suaznabar Cecilia - Sofia</t>
  </si>
  <si>
    <t>Monje Ugarte Camila Alejandra</t>
  </si>
  <si>
    <t>3ºp-6ºp</t>
  </si>
  <si>
    <t>6ºp-2ºs</t>
  </si>
  <si>
    <t>Ortuño Zambrana Raquel</t>
  </si>
  <si>
    <t>Ramos Viamont Luna Isabella</t>
  </si>
  <si>
    <t>Salinas Arandia Francisco - Leticia</t>
  </si>
  <si>
    <t>3ºp-4ºs</t>
  </si>
  <si>
    <t>Sosa Guerrero Victoria</t>
  </si>
  <si>
    <r>
      <t>GESTIÓN</t>
    </r>
    <r>
      <rPr>
        <b/>
        <sz val="18"/>
        <color rgb="FFFF0000"/>
        <rFont val="Berlin Sans FB Demi"/>
        <family val="2"/>
      </rPr>
      <t xml:space="preserve"> 2020</t>
    </r>
  </si>
  <si>
    <t>CONTROL DE PENSIONES GESTION 2021</t>
  </si>
  <si>
    <t>EXTENSIVO MONTESSORI GESTION 2021</t>
  </si>
  <si>
    <t>RECIBO DE CAJA</t>
  </si>
  <si>
    <t>FLUJO DE CAJA DE INGRESOS Y EGRESOS</t>
  </si>
  <si>
    <t>DETALLE</t>
  </si>
  <si>
    <t>INGRESO EFECTIVO</t>
  </si>
  <si>
    <t>EGRESO</t>
  </si>
  <si>
    <t>listas</t>
  </si>
  <si>
    <t>INGRESOS DE KIOSKO</t>
  </si>
  <si>
    <t xml:space="preserve">Detalle Ingresos Egresos </t>
  </si>
  <si>
    <t>INGRESOS MENSUALIDAD COLEGIO DESPERTAD</t>
  </si>
  <si>
    <t>INGRESOS MENSUALIDAD PROGRAMA DE INGLES</t>
  </si>
  <si>
    <t>INGRESOS TRANSPORTE ESCOLAR</t>
  </si>
  <si>
    <t>INGRESOS CLASES IDIOMAS - ALEMAN</t>
  </si>
  <si>
    <t>INGRESOS CLASES IDIOMAS - IDIOMA2</t>
  </si>
  <si>
    <t>INGRESOS CLASES IDIOMAS - IDIOMA3</t>
  </si>
  <si>
    <t>INGRESOS DEPORTES - VOLLEY BALL</t>
  </si>
  <si>
    <t>INGRESOS DEPORTES - FUTBOL</t>
  </si>
  <si>
    <t>INGRESOS DEPORTES - TENNIS DE MESA</t>
  </si>
  <si>
    <t>INGRESOS DEPORTES - DEPORTE4</t>
  </si>
  <si>
    <t>INGRESOS DEPORTES - DEPORTE5</t>
  </si>
  <si>
    <t>EGRESOS IMPUESTOS SIN</t>
  </si>
  <si>
    <t>EGRESOS COMPRAS KIOSKO</t>
  </si>
  <si>
    <t>EGRESOS FOTOCOPIAS LIBROS</t>
  </si>
  <si>
    <t>EGRESOS COMPRA UNIFORMES</t>
  </si>
  <si>
    <t>EGRESOS GASOLINA O GAS</t>
  </si>
  <si>
    <t>EGRESOS SUELDOS Y SALARIOS</t>
  </si>
  <si>
    <t>EGRESOS MATERIALES MANTENIMIENTO</t>
  </si>
  <si>
    <t>EGRESOS GAS YPFB</t>
  </si>
  <si>
    <t>EGRESOS AGUA SEMAPA</t>
  </si>
  <si>
    <t>EGRESOS ENERGIA ELECTRICA ELFEC</t>
  </si>
  <si>
    <t>EGRESOS INTERNET Y TELEFONIA</t>
  </si>
  <si>
    <t>EGRESOS OTROS1</t>
  </si>
  <si>
    <t>EGRESOS OTROS2</t>
  </si>
  <si>
    <t>EGRESOS OTROS3</t>
  </si>
  <si>
    <t>EGRESOS OTROS4</t>
  </si>
  <si>
    <t>EGRESOS OTROS5</t>
  </si>
  <si>
    <t>INGRESOS OTROS1</t>
  </si>
  <si>
    <t>INGRESOS OTROS2</t>
  </si>
  <si>
    <t>INGRESOS OTROS3</t>
  </si>
  <si>
    <t>INGRESOS OTROS4</t>
  </si>
  <si>
    <t>INGRESOS OTROS5</t>
  </si>
  <si>
    <t>INGRESO TRANS.ó QR</t>
  </si>
  <si>
    <t>OP No.</t>
  </si>
  <si>
    <t>Total INGRESOS &amp; EGRESOS</t>
  </si>
  <si>
    <t>SALDO</t>
  </si>
  <si>
    <t>Hemos recibido de :</t>
  </si>
  <si>
    <t>La suma de :</t>
  </si>
  <si>
    <t>Por concepto de :</t>
  </si>
  <si>
    <t>$us.</t>
  </si>
  <si>
    <t xml:space="preserve">Cochabamba, </t>
  </si>
  <si>
    <t>INGRESOS</t>
  </si>
  <si>
    <t>No.</t>
  </si>
  <si>
    <t>t.c. (6,97)</t>
  </si>
  <si>
    <t>FIRMA DEL INTERESADO</t>
  </si>
  <si>
    <t>FIRMA DEL CAJERO</t>
  </si>
  <si>
    <t>PENSIONES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</si>
  <si>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</si>
  <si>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</si>
  <si>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</si>
  <si>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</si>
  <si>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</si>
  <si>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</si>
  <si>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</si>
  <si>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</si>
  <si>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</si>
  <si>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</si>
  <si>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Unic.</t>
  </si>
  <si>
    <t>Rafucho Rafuchin</t>
  </si>
  <si>
    <t>REGISTRO INICIAL SIN VALORES OFICIALES</t>
  </si>
  <si>
    <t>Bs.(Efect.)</t>
  </si>
  <si>
    <t>Bs.(Tr.-QR)</t>
  </si>
  <si>
    <t>Observaciones :</t>
  </si>
  <si>
    <t>PLANILLA DE SUELDOS DOCENTES</t>
  </si>
  <si>
    <t>- Horas X</t>
  </si>
  <si>
    <t>Horas</t>
  </si>
  <si>
    <t>HABER</t>
  </si>
  <si>
    <t>Atra y Faltas</t>
  </si>
  <si>
    <t>Por F/Atrs</t>
  </si>
  <si>
    <t>ADELANTO</t>
  </si>
  <si>
    <t>LIQUIDO</t>
  </si>
  <si>
    <t>Nro</t>
  </si>
  <si>
    <t xml:space="preserve">APELLIDOS Y NOMBRE </t>
  </si>
  <si>
    <t>MATERIA</t>
  </si>
  <si>
    <t>Nro. C.I.</t>
  </si>
  <si>
    <t>MENSUAL</t>
  </si>
  <si>
    <t>PAGABLE</t>
  </si>
  <si>
    <t>Bs. DESC.</t>
  </si>
  <si>
    <t xml:space="preserve">Vesna Lazaneo </t>
  </si>
  <si>
    <t>Directora</t>
  </si>
  <si>
    <t>3603941 CB.</t>
  </si>
  <si>
    <t>David Antequera</t>
  </si>
  <si>
    <t>Director</t>
  </si>
  <si>
    <t>3375300 CB.</t>
  </si>
  <si>
    <t xml:space="preserve">Felicidad Benito </t>
  </si>
  <si>
    <t>Secretaria</t>
  </si>
  <si>
    <t>2797745 Or.</t>
  </si>
  <si>
    <t>Carmen Gomez</t>
  </si>
  <si>
    <t>Psicóloga</t>
  </si>
  <si>
    <t>3109973 Or.</t>
  </si>
  <si>
    <t xml:space="preserve">Rocio Janette Cruz </t>
  </si>
  <si>
    <t>7908651CB.</t>
  </si>
  <si>
    <t>Fabiola Herrera</t>
  </si>
  <si>
    <t>Aux Inicial 1</t>
  </si>
  <si>
    <t>7929725 CB.</t>
  </si>
  <si>
    <t>Lucy Rodriguez</t>
  </si>
  <si>
    <t>3800831 Lp.</t>
  </si>
  <si>
    <t>Marlene Quiñonez</t>
  </si>
  <si>
    <t>Prof. Mater.</t>
  </si>
  <si>
    <t>5238814 CB.</t>
  </si>
  <si>
    <t>Lilian Herrera</t>
  </si>
  <si>
    <t>Prof Inicial 3</t>
  </si>
  <si>
    <t>7881370 CB.</t>
  </si>
  <si>
    <t>Romina Edith Mamani Cruz</t>
  </si>
  <si>
    <t>Aux Inicial 3</t>
  </si>
  <si>
    <t>12874630 CB.</t>
  </si>
  <si>
    <t xml:space="preserve">Nancy Soria </t>
  </si>
  <si>
    <t>Prof Inicial 2</t>
  </si>
  <si>
    <t>2337042 Lp.</t>
  </si>
  <si>
    <t>Thelma Cortez</t>
  </si>
  <si>
    <t>Aux Inicial 2</t>
  </si>
  <si>
    <t>5107060 CB.</t>
  </si>
  <si>
    <t>Karina Velasquez</t>
  </si>
  <si>
    <t>Prof. Inicial 4</t>
  </si>
  <si>
    <t>5253008 CB.</t>
  </si>
  <si>
    <t xml:space="preserve">Susana  </t>
  </si>
  <si>
    <t>Aux Inical 4</t>
  </si>
  <si>
    <t>4513602 CB.</t>
  </si>
  <si>
    <t xml:space="preserve">Liliana Cruz </t>
  </si>
  <si>
    <t>Prof 2º Pri A</t>
  </si>
  <si>
    <t>6485652 CB.</t>
  </si>
  <si>
    <t>Marivel Sanchez</t>
  </si>
  <si>
    <t>Auxi. 2º P B</t>
  </si>
  <si>
    <t>7981530 CB.</t>
  </si>
  <si>
    <t>Edith Mora</t>
  </si>
  <si>
    <t>Prof. 2º P B</t>
  </si>
  <si>
    <t>4469239 CB.</t>
  </si>
  <si>
    <t>Dámaris Oropeza</t>
  </si>
  <si>
    <t>Prof 1º Pri B</t>
  </si>
  <si>
    <t>8012506 CB.</t>
  </si>
  <si>
    <t>Aidé Orellana</t>
  </si>
  <si>
    <t>Auxiliar 1ºPB</t>
  </si>
  <si>
    <t>7890177 CB.</t>
  </si>
  <si>
    <t>Maria Carolina Cossio</t>
  </si>
  <si>
    <t>Auxiliar 2ºPA</t>
  </si>
  <si>
    <t>3775384 CB.</t>
  </si>
  <si>
    <t>Candída Perez</t>
  </si>
  <si>
    <t>Auxiliar 2ºPB</t>
  </si>
  <si>
    <t>1110900 CB.</t>
  </si>
  <si>
    <t>Miriam Guzman</t>
  </si>
  <si>
    <t>Prof 3ºPri B</t>
  </si>
  <si>
    <t>3756262 CB.</t>
  </si>
  <si>
    <t>Jenny Diaz</t>
  </si>
  <si>
    <t>Auxi. 3º P B</t>
  </si>
  <si>
    <t>7940872 CB.</t>
  </si>
  <si>
    <t>Ana Claudia Lafuente</t>
  </si>
  <si>
    <t>Prof. Ingles</t>
  </si>
  <si>
    <t>6442423 CB.</t>
  </si>
  <si>
    <t>Cecilia Fernandez</t>
  </si>
  <si>
    <t>Prof, 4to A</t>
  </si>
  <si>
    <t>Susana Marcus</t>
  </si>
  <si>
    <t>Sociales Ingles</t>
  </si>
  <si>
    <t>5234822 CB.</t>
  </si>
  <si>
    <t>Vanessa Bustillos</t>
  </si>
  <si>
    <t>Ciencias</t>
  </si>
  <si>
    <t>4400632 CB.</t>
  </si>
  <si>
    <t>Carmen Zambrana</t>
  </si>
  <si>
    <t>Inglés</t>
  </si>
  <si>
    <t>2475663 CB.</t>
  </si>
  <si>
    <t>Eugenia Condori</t>
  </si>
  <si>
    <t>Matemáticas</t>
  </si>
  <si>
    <t>5240336 CB.</t>
  </si>
  <si>
    <t>Ana Gabriela Villarroel</t>
  </si>
  <si>
    <t>Lenguaje</t>
  </si>
  <si>
    <t>6551091 CB.</t>
  </si>
  <si>
    <t xml:space="preserve">Milena Solares </t>
  </si>
  <si>
    <t>Manualidades</t>
  </si>
  <si>
    <t>969916 CB.</t>
  </si>
  <si>
    <t>Rafael Antequera</t>
  </si>
  <si>
    <t>Fisica</t>
  </si>
  <si>
    <t>3399098 CB.</t>
  </si>
  <si>
    <t>Margaret Giancalone</t>
  </si>
  <si>
    <t>Mariela Reyna</t>
  </si>
  <si>
    <t>Bio.Español</t>
  </si>
  <si>
    <t>3117036 CB.</t>
  </si>
  <si>
    <t>Paola Luzio</t>
  </si>
  <si>
    <t>3764931 CB.</t>
  </si>
  <si>
    <t>Marcelo Rodriguez</t>
  </si>
  <si>
    <t>Historia</t>
  </si>
  <si>
    <t>4401361 CB.</t>
  </si>
  <si>
    <t>Deyna Castro</t>
  </si>
  <si>
    <t>Secr Secundaria</t>
  </si>
  <si>
    <t>6550274CB.</t>
  </si>
  <si>
    <t xml:space="preserve">Victor Velarde </t>
  </si>
  <si>
    <t>Mantenimi.</t>
  </si>
  <si>
    <t>Simon Martinez</t>
  </si>
  <si>
    <t>Regente</t>
  </si>
  <si>
    <t>Osvaldo Terán</t>
  </si>
  <si>
    <t>Jardinería</t>
  </si>
  <si>
    <t xml:space="preserve">Martha Condori </t>
  </si>
  <si>
    <t>Cocina</t>
  </si>
  <si>
    <t>Rosmery Mercado</t>
  </si>
  <si>
    <t>Ana Maria Goitia</t>
  </si>
  <si>
    <t>Enrriqueta Pinaya</t>
  </si>
  <si>
    <t>Betty Colquehuanca</t>
  </si>
  <si>
    <t>Portera</t>
  </si>
  <si>
    <t>Carla Balderrama</t>
  </si>
  <si>
    <t>limpieza</t>
  </si>
  <si>
    <t>4390163 CB.</t>
  </si>
  <si>
    <t xml:space="preserve">Casiano </t>
  </si>
  <si>
    <t>Jardinero</t>
  </si>
  <si>
    <t>Nilsa Franco</t>
  </si>
  <si>
    <t>Auxiliar</t>
  </si>
  <si>
    <t>Yoli Aguilar</t>
  </si>
  <si>
    <t>E-10131741</t>
  </si>
  <si>
    <t>Rogelia Jimenez</t>
  </si>
  <si>
    <t>Limpieza</t>
  </si>
  <si>
    <t xml:space="preserve">Karina  </t>
  </si>
  <si>
    <t>Maribel</t>
  </si>
  <si>
    <t>Mishell</t>
  </si>
  <si>
    <t>Roxana Burgoa</t>
  </si>
  <si>
    <t>Juana Vidal</t>
  </si>
  <si>
    <t>Aux Maternal A</t>
  </si>
  <si>
    <t>5374807 Scz</t>
  </si>
  <si>
    <t>Blanca Condori</t>
  </si>
  <si>
    <t>Prof Inicial 1</t>
  </si>
  <si>
    <t>6134711LP.</t>
  </si>
  <si>
    <t>Monica Martinez</t>
  </si>
  <si>
    <t>Prof 1ro A</t>
  </si>
  <si>
    <t>5304263 CB.</t>
  </si>
  <si>
    <t>Milenka Guzmán</t>
  </si>
  <si>
    <t>Auxiliar 1º PA</t>
  </si>
  <si>
    <t>8696995 CB.</t>
  </si>
  <si>
    <t>Marcia Rojas</t>
  </si>
  <si>
    <t>Prof.3º P A</t>
  </si>
  <si>
    <t>8023077 CB.</t>
  </si>
  <si>
    <t>Maria Geancarla Claros</t>
  </si>
  <si>
    <t>Prof. 4to B</t>
  </si>
  <si>
    <t>4411136 CB.</t>
  </si>
  <si>
    <t>Sandra Montero</t>
  </si>
  <si>
    <t>Matemática</t>
  </si>
  <si>
    <t>Adriana Castro</t>
  </si>
  <si>
    <t>Arte</t>
  </si>
  <si>
    <t>8822542 CB.</t>
  </si>
  <si>
    <t>Magaly Ayala</t>
  </si>
  <si>
    <t>Quimica</t>
  </si>
  <si>
    <t>Salem Padilla</t>
  </si>
  <si>
    <t xml:space="preserve"> P-522662901</t>
  </si>
  <si>
    <t>Shirley Campos</t>
  </si>
  <si>
    <t>Matematica</t>
  </si>
  <si>
    <t>Laura Burgoa</t>
  </si>
  <si>
    <t>Piscologa</t>
  </si>
  <si>
    <t xml:space="preserve">Loyda </t>
  </si>
  <si>
    <t>Ana Claudia Padilla</t>
  </si>
  <si>
    <t>MES</t>
  </si>
  <si>
    <t>EGRESOS MATERIAL DE LIMPIEZA</t>
  </si>
  <si>
    <t>EGRESOS MATERIAL DE ESCRITORIO</t>
  </si>
  <si>
    <t>INGRESOS CUOTA UNICA DE COLEGIO</t>
  </si>
  <si>
    <t>INGRESOS VENTA DE LIBROS</t>
  </si>
  <si>
    <t>INGRESOS VENTA DE UNIFORMES</t>
  </si>
  <si>
    <t>EGRESOS SUBSIDIOS</t>
  </si>
  <si>
    <t>BUSCAR CODIGO POR APELLIDO</t>
  </si>
  <si>
    <t>Bayá García Alejandro - Leonardo</t>
  </si>
  <si>
    <t>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</si>
</sst>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7" formatCode="&quot;Bs&quot;#,##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sz val="12"/>
      <color theme="1"/>
      <name val="Rockwell"/>
      <family val="1"/>
    </font>
    <font>
      <b/>
      <sz val="14"/>
      <color theme="1"/>
      <name val="Rockwell"/>
      <family val="1"/>
    </font>
    <font>
      <b/>
      <sz val="16"/>
      <color theme="1"/>
      <name val="Rockwell"/>
      <family val="1"/>
    </font>
    <font>
      <b/>
      <sz val="22"/>
      <color theme="1"/>
      <name val="Rockwell"/>
      <family val="1"/>
    </font>
    <font>
      <sz val="11"/>
      <color theme="1"/>
      <name val="Calibri"/>
      <family val="2"/>
      <scheme val="minor"/>
    </font>
    <font>
      <sz val="12"/>
      <color theme="1"/>
      <name val="Rockwell"/>
      <family val="1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Rockwell"/>
      <family val="1"/>
    </font>
    <font>
      <b/>
      <sz val="16"/>
      <color rgb="FFFF0000"/>
      <name val="Rockwell"/>
      <family val="1"/>
    </font>
    <font>
      <b/>
      <sz val="18"/>
      <color rgb="FFFF0000"/>
      <name val="Rockwell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b/>
      <sz val="14"/>
      <color rgb="FFFF0000"/>
      <name val="Berlin Sans FB Demi"/>
      <family val="2"/>
    </font>
    <font>
      <b/>
      <sz val="18"/>
      <color rgb="FFFF0000"/>
      <name val="Berlin Sans FB Demi"/>
      <family val="2"/>
    </font>
    <font>
      <sz val="13"/>
      <color theme="1"/>
      <name val="Rockwell"/>
      <family val="1"/>
    </font>
    <font>
      <b/>
      <sz val="13"/>
      <color theme="1"/>
      <name val="Rockwell"/>
      <family val="1"/>
    </font>
    <font>
      <sz val="14"/>
      <color theme="1"/>
      <name val="Rockwell"/>
      <family val="1"/>
    </font>
    <font>
      <sz val="20"/>
      <name val="Rockwell"/>
      <family val="1"/>
    </font>
    <font>
      <sz val="10"/>
      <color theme="1"/>
      <name val="Rockwell"/>
      <family val="1"/>
    </font>
    <font>
      <b/>
      <sz val="10"/>
      <color theme="1"/>
      <name val="Rockwell"/>
      <family val="1"/>
    </font>
    <font>
      <b/>
      <sz val="9"/>
      <color theme="1"/>
      <name val="Rockwell"/>
      <family val="1"/>
    </font>
    <font>
      <sz val="10"/>
      <name val="Arial"/>
      <family val="2"/>
    </font>
    <font>
      <b/>
      <sz val="10"/>
      <name val="Arial"/>
      <family val="2"/>
    </font>
    <font>
      <sz val="10"/>
      <color rgb="FFFF00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b/>
      <sz val="8"/>
      <color theme="1"/>
      <name val="Rockwell"/>
      <family val="1"/>
    </font>
    <font>
      <b/>
      <sz val="18"/>
      <color theme="0"/>
      <name val="Rockwell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32" fillId="0" borderId="0"/>
  </cellStyleXfs>
  <cellXfs count="27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1" fontId="0" fillId="0" borderId="1" xfId="0" applyNumberFormat="1" applyBorder="1"/>
    <xf numFmtId="0" fontId="6" fillId="0" borderId="0" xfId="0" applyFont="1" applyAlignment="1">
      <alignment vertical="center"/>
    </xf>
    <xf numFmtId="0" fontId="6" fillId="2" borderId="13" xfId="0" applyFont="1" applyFill="1" applyBorder="1"/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/>
    <xf numFmtId="0" fontId="6" fillId="2" borderId="1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5" fontId="0" fillId="0" borderId="1" xfId="1" applyNumberFormat="1" applyFont="1" applyBorder="1"/>
    <xf numFmtId="165" fontId="0" fillId="0" borderId="1" xfId="0" applyNumberFormat="1" applyBorder="1"/>
    <xf numFmtId="165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quotePrefix="1" applyBorder="1"/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vertical="center"/>
    </xf>
    <xf numFmtId="0" fontId="5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left" vertical="center"/>
      <protection locked="0"/>
    </xf>
    <xf numFmtId="0" fontId="0" fillId="0" borderId="14" xfId="0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0" fillId="0" borderId="14" xfId="0" applyBorder="1"/>
    <xf numFmtId="165" fontId="0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1" fillId="0" borderId="1" xfId="0" applyFont="1" applyBorder="1"/>
    <xf numFmtId="165" fontId="0" fillId="0" borderId="1" xfId="0" quotePrefix="1" applyNumberFormat="1" applyBorder="1"/>
    <xf numFmtId="0" fontId="4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25" fillId="0" borderId="5" xfId="0" applyFont="1" applyBorder="1"/>
    <xf numFmtId="0" fontId="25" fillId="0" borderId="0" xfId="0" applyFont="1"/>
    <xf numFmtId="0" fontId="25" fillId="0" borderId="6" xfId="0" applyFont="1" applyBorder="1"/>
    <xf numFmtId="0" fontId="26" fillId="0" borderId="0" xfId="0" applyFont="1"/>
    <xf numFmtId="0" fontId="26" fillId="0" borderId="6" xfId="0" applyFont="1" applyBorder="1"/>
    <xf numFmtId="0" fontId="25" fillId="0" borderId="5" xfId="0" quotePrefix="1" applyFont="1" applyBorder="1"/>
    <xf numFmtId="0" fontId="25" fillId="0" borderId="0" xfId="0" quotePrefix="1" applyFont="1"/>
    <xf numFmtId="0" fontId="25" fillId="0" borderId="7" xfId="0" quotePrefix="1" applyFont="1" applyBorder="1"/>
    <xf numFmtId="0" fontId="25" fillId="0" borderId="8" xfId="0" applyFont="1" applyBorder="1"/>
    <xf numFmtId="0" fontId="25" fillId="0" borderId="9" xfId="0" applyFont="1" applyBorder="1"/>
    <xf numFmtId="0" fontId="25" fillId="0" borderId="8" xfId="0" quotePrefix="1" applyFont="1" applyBorder="1"/>
    <xf numFmtId="0" fontId="26" fillId="0" borderId="8" xfId="0" applyFont="1" applyBorder="1"/>
    <xf numFmtId="0" fontId="26" fillId="0" borderId="9" xfId="0" applyFont="1" applyBorder="1"/>
    <xf numFmtId="0" fontId="12" fillId="0" borderId="0" xfId="0" applyFont="1"/>
    <xf numFmtId="0" fontId="7" fillId="0" borderId="0" xfId="0" applyFont="1" applyAlignment="1">
      <alignment horizontal="center" vertical="center"/>
    </xf>
    <xf numFmtId="0" fontId="28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2" fillId="10" borderId="1" xfId="0" applyFont="1" applyFill="1" applyBorder="1"/>
    <xf numFmtId="0" fontId="12" fillId="9" borderId="1" xfId="0" applyFont="1" applyFill="1" applyBorder="1"/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7" fillId="0" borderId="0" xfId="0" applyFont="1"/>
    <xf numFmtId="0" fontId="8" fillId="8" borderId="22" xfId="0" applyFont="1" applyFill="1" applyBorder="1"/>
    <xf numFmtId="0" fontId="8" fillId="8" borderId="23" xfId="0" applyFont="1" applyFill="1" applyBorder="1"/>
    <xf numFmtId="0" fontId="8" fillId="0" borderId="21" xfId="0" applyFont="1" applyBorder="1"/>
    <xf numFmtId="167" fontId="12" fillId="0" borderId="0" xfId="0" applyNumberFormat="1" applyFont="1"/>
    <xf numFmtId="167" fontId="27" fillId="11" borderId="1" xfId="0" applyNumberFormat="1" applyFont="1" applyFill="1" applyBorder="1"/>
    <xf numFmtId="167" fontId="27" fillId="7" borderId="1" xfId="0" applyNumberFormat="1" applyFont="1" applyFill="1" applyBorder="1"/>
    <xf numFmtId="167" fontId="8" fillId="8" borderId="14" xfId="0" applyNumberFormat="1" applyFont="1" applyFill="1" applyBorder="1"/>
    <xf numFmtId="167" fontId="8" fillId="0" borderId="25" xfId="0" applyNumberFormat="1" applyFont="1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29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30" fillId="0" borderId="1" xfId="0" applyFont="1" applyBorder="1" applyAlignment="1">
      <alignment horizontal="center" vertical="center"/>
    </xf>
    <xf numFmtId="0" fontId="31" fillId="0" borderId="14" xfId="0" applyFont="1" applyBorder="1" applyAlignment="1">
      <alignment vertical="center" wrapText="1"/>
    </xf>
    <xf numFmtId="0" fontId="30" fillId="0" borderId="1" xfId="0" applyFont="1" applyBorder="1" applyAlignment="1">
      <alignment horizontal="center"/>
    </xf>
    <xf numFmtId="165" fontId="12" fillId="0" borderId="0" xfId="0" applyNumberFormat="1" applyFont="1" applyAlignment="1">
      <alignment horizontal="left" vertical="center"/>
    </xf>
    <xf numFmtId="0" fontId="12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12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4" borderId="10" xfId="0" applyFont="1" applyFill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165" fontId="7" fillId="0" borderId="11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31" fillId="10" borderId="14" xfId="0" applyFont="1" applyFill="1" applyBorder="1" applyAlignment="1">
      <alignment vertical="center" wrapText="1"/>
    </xf>
    <xf numFmtId="165" fontId="12" fillId="10" borderId="0" xfId="0" applyNumberFormat="1" applyFont="1" applyFill="1" applyAlignment="1">
      <alignment horizontal="left" vertical="center"/>
    </xf>
    <xf numFmtId="0" fontId="30" fillId="10" borderId="27" xfId="0" applyFont="1" applyFill="1" applyBorder="1" applyAlignment="1">
      <alignment horizontal="center" vertical="center"/>
    </xf>
    <xf numFmtId="0" fontId="30" fillId="10" borderId="28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0" fillId="10" borderId="27" xfId="0" applyFont="1" applyFill="1" applyBorder="1" applyAlignment="1">
      <alignment horizontal="center" vertical="center" wrapText="1"/>
    </xf>
    <xf numFmtId="0" fontId="30" fillId="10" borderId="28" xfId="0" applyFont="1" applyFill="1" applyBorder="1" applyAlignment="1">
      <alignment horizontal="center" vertical="center" wrapText="1"/>
    </xf>
    <xf numFmtId="0" fontId="30" fillId="10" borderId="29" xfId="0" applyFont="1" applyFill="1" applyBorder="1" applyAlignment="1">
      <alignment horizontal="center" vertical="center" wrapText="1"/>
    </xf>
    <xf numFmtId="0" fontId="30" fillId="10" borderId="30" xfId="0" applyFont="1" applyFill="1" applyBorder="1" applyAlignment="1">
      <alignment horizontal="center" vertical="center" wrapText="1"/>
    </xf>
    <xf numFmtId="2" fontId="7" fillId="10" borderId="1" xfId="0" applyNumberFormat="1" applyFont="1" applyFill="1" applyBorder="1" applyAlignment="1">
      <alignment horizontal="center" vertical="center"/>
    </xf>
    <xf numFmtId="14" fontId="12" fillId="0" borderId="0" xfId="0" applyNumberFormat="1" applyFont="1"/>
    <xf numFmtId="0" fontId="31" fillId="0" borderId="1" xfId="0" applyFont="1" applyBorder="1" applyAlignment="1">
      <alignment horizontal="center"/>
    </xf>
    <xf numFmtId="2" fontId="7" fillId="0" borderId="1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29" fillId="0" borderId="1" xfId="0" applyFont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27" xfId="0" applyFont="1" applyFill="1" applyBorder="1" applyAlignment="1">
      <alignment horizontal="center" vertical="center" wrapText="1"/>
    </xf>
    <xf numFmtId="0" fontId="30" fillId="12" borderId="20" xfId="0" applyFont="1" applyFill="1" applyBorder="1" applyAlignment="1">
      <alignment horizontal="center" vertical="center" wrapText="1"/>
    </xf>
    <xf numFmtId="0" fontId="30" fillId="12" borderId="28" xfId="0" applyFont="1" applyFill="1" applyBorder="1" applyAlignment="1">
      <alignment horizontal="center" vertical="center" wrapText="1"/>
    </xf>
    <xf numFmtId="0" fontId="32" fillId="0" borderId="0" xfId="2"/>
    <xf numFmtId="0" fontId="33" fillId="0" borderId="0" xfId="2" applyFont="1"/>
    <xf numFmtId="2" fontId="32" fillId="0" borderId="0" xfId="2" applyNumberFormat="1"/>
    <xf numFmtId="2" fontId="32" fillId="0" borderId="8" xfId="2" applyNumberFormat="1" applyBorder="1"/>
    <xf numFmtId="0" fontId="33" fillId="0" borderId="0" xfId="2" applyFont="1" applyAlignment="1">
      <alignment horizontal="center"/>
    </xf>
    <xf numFmtId="0" fontId="32" fillId="0" borderId="6" xfId="2" applyBorder="1"/>
    <xf numFmtId="0" fontId="33" fillId="0" borderId="11" xfId="2" applyFont="1" applyBorder="1" applyAlignment="1">
      <alignment horizontal="center"/>
    </xf>
    <xf numFmtId="2" fontId="33" fillId="0" borderId="16" xfId="2" applyNumberFormat="1" applyFont="1" applyBorder="1" applyAlignment="1">
      <alignment horizontal="center"/>
    </xf>
    <xf numFmtId="0" fontId="33" fillId="0" borderId="16" xfId="2" applyFont="1" applyBorder="1" applyAlignment="1">
      <alignment horizontal="center"/>
    </xf>
    <xf numFmtId="0" fontId="33" fillId="0" borderId="16" xfId="2" applyFont="1" applyBorder="1"/>
    <xf numFmtId="2" fontId="33" fillId="0" borderId="16" xfId="2" applyNumberFormat="1" applyFont="1" applyBorder="1"/>
    <xf numFmtId="0" fontId="33" fillId="0" borderId="8" xfId="2" applyFont="1" applyBorder="1" applyAlignment="1">
      <alignment horizontal="center"/>
    </xf>
    <xf numFmtId="0" fontId="32" fillId="0" borderId="8" xfId="2" applyBorder="1"/>
    <xf numFmtId="0" fontId="32" fillId="0" borderId="9" xfId="2" applyBorder="1"/>
    <xf numFmtId="0" fontId="33" fillId="0" borderId="2" xfId="2" applyFont="1" applyBorder="1"/>
    <xf numFmtId="0" fontId="34" fillId="0" borderId="16" xfId="2" applyFont="1" applyBorder="1" applyAlignment="1">
      <alignment horizontal="center"/>
    </xf>
    <xf numFmtId="0" fontId="34" fillId="0" borderId="32" xfId="2" applyFont="1" applyBorder="1" applyAlignment="1">
      <alignment horizontal="center"/>
    </xf>
    <xf numFmtId="0" fontId="34" fillId="0" borderId="1" xfId="2" applyFont="1" applyBorder="1" applyAlignment="1">
      <alignment horizontal="center"/>
    </xf>
    <xf numFmtId="0" fontId="32" fillId="0" borderId="14" xfId="2" applyBorder="1" applyAlignment="1">
      <alignment horizontal="center"/>
    </xf>
    <xf numFmtId="2" fontId="32" fillId="0" borderId="14" xfId="2" applyNumberFormat="1" applyBorder="1" applyAlignment="1">
      <alignment horizontal="center"/>
    </xf>
    <xf numFmtId="0" fontId="32" fillId="0" borderId="14" xfId="2" applyBorder="1"/>
    <xf numFmtId="2" fontId="32" fillId="0" borderId="33" xfId="2" applyNumberFormat="1" applyBorder="1" applyAlignment="1">
      <alignment horizontal="center"/>
    </xf>
    <xf numFmtId="0" fontId="32" fillId="0" borderId="1" xfId="2" applyBorder="1" applyAlignment="1">
      <alignment horizontal="center"/>
    </xf>
    <xf numFmtId="2" fontId="32" fillId="0" borderId="1" xfId="2" applyNumberFormat="1" applyBorder="1" applyAlignment="1">
      <alignment horizontal="center"/>
    </xf>
    <xf numFmtId="0" fontId="32" fillId="0" borderId="32" xfId="2" applyBorder="1" applyAlignment="1">
      <alignment horizontal="center"/>
    </xf>
    <xf numFmtId="0" fontId="35" fillId="0" borderId="32" xfId="2" applyFont="1" applyBorder="1" applyAlignment="1">
      <alignment horizontal="center"/>
    </xf>
    <xf numFmtId="0" fontId="35" fillId="0" borderId="1" xfId="2" applyFont="1" applyBorder="1" applyAlignment="1">
      <alignment horizontal="center"/>
    </xf>
    <xf numFmtId="0" fontId="36" fillId="0" borderId="32" xfId="2" applyFont="1" applyBorder="1" applyAlignment="1">
      <alignment horizontal="center"/>
    </xf>
    <xf numFmtId="0" fontId="36" fillId="0" borderId="1" xfId="2" applyFont="1" applyBorder="1" applyAlignment="1">
      <alignment horizontal="center"/>
    </xf>
    <xf numFmtId="0" fontId="32" fillId="0" borderId="0" xfId="2" applyAlignment="1">
      <alignment horizontal="center"/>
    </xf>
    <xf numFmtId="0" fontId="32" fillId="0" borderId="35" xfId="2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8" fillId="7" borderId="20" xfId="0" applyFont="1" applyFill="1" applyBorder="1" applyAlignment="1">
      <alignment horizontal="center" vertical="center"/>
    </xf>
    <xf numFmtId="0" fontId="38" fillId="7" borderId="0" xfId="0" applyFont="1" applyFill="1" applyBorder="1" applyAlignment="1">
      <alignment horizontal="center" vertical="center"/>
    </xf>
    <xf numFmtId="0" fontId="30" fillId="12" borderId="36" xfId="0" applyFont="1" applyFill="1" applyBorder="1" applyAlignment="1">
      <alignment horizontal="center" vertical="center" wrapText="1"/>
    </xf>
    <xf numFmtId="0" fontId="30" fillId="12" borderId="0" xfId="0" applyFont="1" applyFill="1" applyBorder="1" applyAlignment="1">
      <alignment horizontal="center" vertical="center" wrapText="1"/>
    </xf>
    <xf numFmtId="0" fontId="30" fillId="12" borderId="35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30" fillId="10" borderId="13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12" fillId="10" borderId="27" xfId="0" applyFont="1" applyFill="1" applyBorder="1" applyAlignment="1">
      <alignment horizontal="center"/>
    </xf>
    <xf numFmtId="0" fontId="12" fillId="10" borderId="20" xfId="0" applyFont="1" applyFill="1" applyBorder="1" applyAlignment="1">
      <alignment horizontal="center"/>
    </xf>
    <xf numFmtId="0" fontId="12" fillId="10" borderId="28" xfId="0" applyFont="1" applyFill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37" fillId="0" borderId="27" xfId="0" applyFont="1" applyBorder="1" applyAlignment="1">
      <alignment horizontal="center" vertical="center" wrapText="1"/>
    </xf>
    <xf numFmtId="0" fontId="37" fillId="0" borderId="28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29" xfId="0" applyFont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36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 wrapText="1"/>
    </xf>
    <xf numFmtId="0" fontId="37" fillId="0" borderId="35" xfId="0" applyFont="1" applyFill="1" applyBorder="1" applyAlignment="1">
      <alignment horizontal="center" vertical="center" wrapText="1"/>
    </xf>
    <xf numFmtId="0" fontId="37" fillId="0" borderId="29" xfId="0" applyFont="1" applyFill="1" applyBorder="1" applyAlignment="1">
      <alignment horizontal="center" vertical="center" wrapText="1"/>
    </xf>
    <xf numFmtId="0" fontId="37" fillId="0" borderId="26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top"/>
    </xf>
    <xf numFmtId="0" fontId="12" fillId="0" borderId="34" xfId="0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</cellXfs>
  <cellStyles count="3">
    <cellStyle name="Millares" xfId="1" builtinId="3"/>
    <cellStyle name="Normal" xfId="0" builtinId="0"/>
    <cellStyle name="Normal 2" xfId="2" xr:uid="{65865848-3B81-4B05-B8C7-706DFA5DD2C3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  <numFmt numFmtId="167" formatCode="&quot;Bs&quot;#,##0"/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  <numFmt numFmtId="167" formatCode="&quot;Bs&quot;#,##0"/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  <numFmt numFmtId="167" formatCode="&quot;Bs&quot;#,##0"/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numFmt numFmtId="167" formatCode="&quot;Bs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numFmt numFmtId="167" formatCode="&quot;Bs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numFmt numFmtId="167" formatCode="&quot;Bs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Rockwell"/>
        <family val="1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ckwell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O$1048565" lockText="1" noThreeD="1"/>
</file>

<file path=xl/ctrlProps/ctrlProp2.xml><?xml version="1.0" encoding="utf-8"?>
<formControlPr xmlns="http://schemas.microsoft.com/office/spreadsheetml/2009/9/main" objectType="CheckBox" fmlaLink="O1048566" lockText="1" noThreeD="1"/>
</file>

<file path=xl/ctrlProps/ctrlProp3.xml><?xml version="1.0" encoding="utf-8"?>
<formControlPr xmlns="http://schemas.microsoft.com/office/spreadsheetml/2009/9/main" objectType="CheckBox" fmlaLink="O1048567" lockText="1" noThreeD="1"/>
</file>

<file path=xl/ctrlProps/ctrlProp4.xml><?xml version="1.0" encoding="utf-8"?>
<formControlPr xmlns="http://schemas.microsoft.com/office/spreadsheetml/2009/9/main" objectType="CheckBox" fmlaLink="O1048568" lockText="1" noThreeD="1"/>
</file>

<file path=xl/ctrlProps/ctrlProp5.xml><?xml version="1.0" encoding="utf-8"?>
<formControlPr xmlns="http://schemas.microsoft.com/office/spreadsheetml/2009/9/main" objectType="CheckBox" fmlaLink="O1048569" lockText="1" noThreeD="1"/>
</file>

<file path=xl/ctrlProps/ctrlProp6.xml><?xml version="1.0" encoding="utf-8"?>
<formControlPr xmlns="http://schemas.microsoft.com/office/spreadsheetml/2009/9/main" objectType="CheckBox" fmlaLink="O1048570" lockText="1" noThreeD="1"/>
</file>

<file path=xl/ctrlProps/ctrlProp7.xml><?xml version="1.0" encoding="utf-8"?>
<formControlPr xmlns="http://schemas.microsoft.com/office/spreadsheetml/2009/9/main" objectType="CheckBox" fmlaLink="O1048571" lockText="1" noThreeD="1"/>
</file>

<file path=xl/ctrlProps/ctrlProp8.xml><?xml version="1.0" encoding="utf-8"?>
<formControlPr xmlns="http://schemas.microsoft.com/office/spreadsheetml/2009/9/main" objectType="CheckBox" fmlaLink="O1048572" lockText="1" noThreeD="1"/>
</file>

<file path=xl/ctrlProps/ctrlProp9.xml><?xml version="1.0" encoding="utf-8"?>
<formControlPr xmlns="http://schemas.microsoft.com/office/spreadsheetml/2009/9/main" objectType="CheckBox" fmlaLink="O1048573" lockText="1" noThreeD="1"/>
</file>

<file path=xl/ctrlProps/ctrlProp10.xml><?xml version="1.0" encoding="utf-8"?>
<formControlPr xmlns="http://schemas.microsoft.com/office/spreadsheetml/2009/9/main" objectType="CheckBox" fmlaLink="O1048574" lockText="1" noThreeD="1"/>
</file>

<file path=xl/ctrlProps/ctrlProp11.xml><?xml version="1.0" encoding="utf-8"?>
<formControlPr xmlns="http://schemas.microsoft.com/office/spreadsheetml/2009/9/main" objectType="CheckBox" fmlaLink="O1048575" lockText="1" noThreeD="1"/>
</file>

<file path=xl/ctrlProps/ctrlProp12.xml><?xml version="1.0" encoding="utf-8"?>
<formControlPr xmlns="http://schemas.microsoft.com/office/spreadsheetml/2009/9/main" objectType="CheckBox" fmlaLink="O1048565" lockText="1" noThreeD="1"/>
</file>

<file path=xl/ctrlProps/ctrlProp13.xml><?xml version="1.0" encoding="utf-8"?>
<formControlPr xmlns="http://schemas.microsoft.com/office/spreadsheetml/2009/9/main" objectType="CheckBox" fmlaLink="O1048566" lockText="1" noThreeD="1"/>
</file>

<file path=xl/ctrlProps/ctrlProp14.xml><?xml version="1.0" encoding="utf-8"?>
<formControlPr xmlns="http://schemas.microsoft.com/office/spreadsheetml/2009/9/main" objectType="CheckBox" fmlaLink="O1048567" lockText="1" noThreeD="1"/>
</file>

<file path=xl/ctrlProps/ctrlProp15.xml><?xml version="1.0" encoding="utf-8"?>
<formControlPr xmlns="http://schemas.microsoft.com/office/spreadsheetml/2009/9/main" objectType="CheckBox" fmlaLink="O1048568" lockText="1" noThreeD="1"/>
</file>

<file path=xl/ctrlProps/ctrlProp16.xml><?xml version="1.0" encoding="utf-8"?>
<formControlPr xmlns="http://schemas.microsoft.com/office/spreadsheetml/2009/9/main" objectType="CheckBox" fmlaLink="O1048569" lockText="1" noThreeD="1"/>
</file>

<file path=xl/ctrlProps/ctrlProp17.xml><?xml version="1.0" encoding="utf-8"?>
<formControlPr xmlns="http://schemas.microsoft.com/office/spreadsheetml/2009/9/main" objectType="CheckBox" fmlaLink="O1048570" lockText="1" noThreeD="1"/>
</file>

<file path=xl/ctrlProps/ctrlProp18.xml><?xml version="1.0" encoding="utf-8"?>
<formControlPr xmlns="http://schemas.microsoft.com/office/spreadsheetml/2009/9/main" objectType="CheckBox" fmlaLink="O1048571" lockText="1" noThreeD="1"/>
</file>

<file path=xl/ctrlProps/ctrlProp19.xml><?xml version="1.0" encoding="utf-8"?>
<formControlPr xmlns="http://schemas.microsoft.com/office/spreadsheetml/2009/9/main" objectType="CheckBox" fmlaLink="O1048572" lockText="1" noThreeD="1"/>
</file>

<file path=xl/ctrlProps/ctrlProp20.xml><?xml version="1.0" encoding="utf-8"?>
<formControlPr xmlns="http://schemas.microsoft.com/office/spreadsheetml/2009/9/main" objectType="CheckBox" fmlaLink="O1048573" lockText="1" noThreeD="1"/>
</file>

<file path=xl/ctrlProps/ctrlProp21.xml><?xml version="1.0" encoding="utf-8"?>
<formControlPr xmlns="http://schemas.microsoft.com/office/spreadsheetml/2009/9/main" objectType="CheckBox" fmlaLink="O1048574" lockText="1" noThreeD="1"/>
</file>

<file path=xl/ctrlProps/ctrlProp22.xml><?xml version="1.0" encoding="utf-8"?>
<formControlPr xmlns="http://schemas.microsoft.com/office/spreadsheetml/2009/9/main" objectType="CheckBox" fmlaLink="O1048575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1</xdr:row>
      <xdr:rowOff>45720</xdr:rowOff>
    </xdr:from>
    <xdr:to>
      <xdr:col>2</xdr:col>
      <xdr:colOff>533400</xdr:colOff>
      <xdr:row>3</xdr:row>
      <xdr:rowOff>269041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45720"/>
          <a:ext cx="2179320" cy="617021"/>
        </a:xfrm>
        <a:prstGeom prst="rect">
          <a:avLst/>
        </a:prstGeom>
      </xdr:spPr>
    </xdr:pic>
    <xdr:clientData/>
  </xdr:twoCellAnchor>
  <xdr:oneCellAnchor>
    <xdr:from>
      <xdr:col>1</xdr:col>
      <xdr:colOff>45720</xdr:colOff>
      <xdr:row>23</xdr:row>
      <xdr:rowOff>45720</xdr:rowOff>
    </xdr:from>
    <xdr:ext cx="2179320" cy="617021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236220"/>
          <a:ext cx="2179320" cy="617021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6</xdr:row>
          <xdr:rowOff>182880</xdr:rowOff>
        </xdr:from>
        <xdr:to>
          <xdr:col>6</xdr:col>
          <xdr:colOff>266700</xdr:colOff>
          <xdr:row>8</xdr:row>
          <xdr:rowOff>22860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0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6</xdr:row>
          <xdr:rowOff>175260</xdr:rowOff>
        </xdr:from>
        <xdr:to>
          <xdr:col>8</xdr:col>
          <xdr:colOff>274320</xdr:colOff>
          <xdr:row>8</xdr:row>
          <xdr:rowOff>15240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0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6</xdr:row>
          <xdr:rowOff>167640</xdr:rowOff>
        </xdr:from>
        <xdr:to>
          <xdr:col>10</xdr:col>
          <xdr:colOff>274320</xdr:colOff>
          <xdr:row>8</xdr:row>
          <xdr:rowOff>7620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0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7</xdr:row>
          <xdr:rowOff>167640</xdr:rowOff>
        </xdr:from>
        <xdr:to>
          <xdr:col>6</xdr:col>
          <xdr:colOff>266700</xdr:colOff>
          <xdr:row>9</xdr:row>
          <xdr:rowOff>7620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0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182880</xdr:rowOff>
        </xdr:from>
        <xdr:to>
          <xdr:col>8</xdr:col>
          <xdr:colOff>274320</xdr:colOff>
          <xdr:row>9</xdr:row>
          <xdr:rowOff>22860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0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7</xdr:row>
          <xdr:rowOff>175260</xdr:rowOff>
        </xdr:from>
        <xdr:to>
          <xdr:col>10</xdr:col>
          <xdr:colOff>281354</xdr:colOff>
          <xdr:row>9</xdr:row>
          <xdr:rowOff>15240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0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8</xdr:row>
          <xdr:rowOff>182880</xdr:rowOff>
        </xdr:from>
        <xdr:to>
          <xdr:col>6</xdr:col>
          <xdr:colOff>266700</xdr:colOff>
          <xdr:row>10</xdr:row>
          <xdr:rowOff>22860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0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8</xdr:row>
          <xdr:rowOff>175260</xdr:rowOff>
        </xdr:from>
        <xdr:to>
          <xdr:col>8</xdr:col>
          <xdr:colOff>274320</xdr:colOff>
          <xdr:row>10</xdr:row>
          <xdr:rowOff>15240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0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8</xdr:row>
          <xdr:rowOff>167640</xdr:rowOff>
        </xdr:from>
        <xdr:to>
          <xdr:col>10</xdr:col>
          <xdr:colOff>281354</xdr:colOff>
          <xdr:row>10</xdr:row>
          <xdr:rowOff>7620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0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9</xdr:row>
          <xdr:rowOff>175260</xdr:rowOff>
        </xdr:from>
        <xdr:to>
          <xdr:col>6</xdr:col>
          <xdr:colOff>274320</xdr:colOff>
          <xdr:row>11</xdr:row>
          <xdr:rowOff>15239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0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160020</xdr:colOff>
          <xdr:row>9</xdr:row>
          <xdr:rowOff>167640</xdr:rowOff>
        </xdr:from>
        <xdr:to>
          <xdr:col>10</xdr:col>
          <xdr:colOff>119575</xdr:colOff>
          <xdr:row>11</xdr:row>
          <xdr:rowOff>7619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0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28</xdr:row>
          <xdr:rowOff>182880</xdr:rowOff>
        </xdr:from>
        <xdr:to>
          <xdr:col>6</xdr:col>
          <xdr:colOff>266700</xdr:colOff>
          <xdr:row>30</xdr:row>
          <xdr:rowOff>22860</xdr:rowOff>
        </xdr:to>
        <xdr:sp macro="" textlink="">
          <xdr:nvSpPr>
            <xdr:cNvPr id="9243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28</xdr:row>
          <xdr:rowOff>175260</xdr:rowOff>
        </xdr:from>
        <xdr:to>
          <xdr:col>8</xdr:col>
          <xdr:colOff>274320</xdr:colOff>
          <xdr:row>30</xdr:row>
          <xdr:rowOff>15240</xdr:rowOff>
        </xdr:to>
        <xdr:sp macro="" textlink="">
          <xdr:nvSpPr>
            <xdr:cNvPr id="9244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</xdr:colOff>
          <xdr:row>28</xdr:row>
          <xdr:rowOff>167640</xdr:rowOff>
        </xdr:from>
        <xdr:to>
          <xdr:col>10</xdr:col>
          <xdr:colOff>274320</xdr:colOff>
          <xdr:row>30</xdr:row>
          <xdr:rowOff>7620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29</xdr:row>
          <xdr:rowOff>167640</xdr:rowOff>
        </xdr:from>
        <xdr:to>
          <xdr:col>6</xdr:col>
          <xdr:colOff>266700</xdr:colOff>
          <xdr:row>31</xdr:row>
          <xdr:rowOff>7621</xdr:rowOff>
        </xdr:to>
        <xdr:sp macro="" textlink="">
          <xdr:nvSpPr>
            <xdr:cNvPr id="9246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29</xdr:row>
          <xdr:rowOff>182880</xdr:rowOff>
        </xdr:from>
        <xdr:to>
          <xdr:col>8</xdr:col>
          <xdr:colOff>274320</xdr:colOff>
          <xdr:row>31</xdr:row>
          <xdr:rowOff>22861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29</xdr:row>
          <xdr:rowOff>175260</xdr:rowOff>
        </xdr:from>
        <xdr:to>
          <xdr:col>10</xdr:col>
          <xdr:colOff>281354</xdr:colOff>
          <xdr:row>31</xdr:row>
          <xdr:rowOff>15241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30</xdr:row>
          <xdr:rowOff>182880</xdr:rowOff>
        </xdr:from>
        <xdr:to>
          <xdr:col>6</xdr:col>
          <xdr:colOff>266700</xdr:colOff>
          <xdr:row>32</xdr:row>
          <xdr:rowOff>22859</xdr:rowOff>
        </xdr:to>
        <xdr:sp macro="" textlink="">
          <xdr:nvSpPr>
            <xdr:cNvPr id="9249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30</xdr:row>
          <xdr:rowOff>175260</xdr:rowOff>
        </xdr:from>
        <xdr:to>
          <xdr:col>8</xdr:col>
          <xdr:colOff>274320</xdr:colOff>
          <xdr:row>32</xdr:row>
          <xdr:rowOff>15239</xdr:rowOff>
        </xdr:to>
        <xdr:sp macro="" textlink="">
          <xdr:nvSpPr>
            <xdr:cNvPr id="9250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30</xdr:row>
          <xdr:rowOff>167640</xdr:rowOff>
        </xdr:from>
        <xdr:to>
          <xdr:col>10</xdr:col>
          <xdr:colOff>281354</xdr:colOff>
          <xdr:row>32</xdr:row>
          <xdr:rowOff>7619</xdr:rowOff>
        </xdr:to>
        <xdr:sp macro="" textlink="">
          <xdr:nvSpPr>
            <xdr:cNvPr id="9251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</xdr:colOff>
          <xdr:row>31</xdr:row>
          <xdr:rowOff>175260</xdr:rowOff>
        </xdr:from>
        <xdr:to>
          <xdr:col>6</xdr:col>
          <xdr:colOff>274320</xdr:colOff>
          <xdr:row>33</xdr:row>
          <xdr:rowOff>15239</xdr:rowOff>
        </xdr:to>
        <xdr:sp macro="" textlink="">
          <xdr:nvSpPr>
            <xdr:cNvPr id="9252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160020</xdr:colOff>
          <xdr:row>31</xdr:row>
          <xdr:rowOff>175260</xdr:rowOff>
        </xdr:from>
        <xdr:to>
          <xdr:col>10</xdr:col>
          <xdr:colOff>119575</xdr:colOff>
          <xdr:row>33</xdr:row>
          <xdr:rowOff>15239</xdr:rowOff>
        </xdr:to>
        <xdr:sp macro="" textlink="">
          <xdr:nvSpPr>
            <xdr:cNvPr id="9253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13</xdr:col>
      <xdr:colOff>341567</xdr:colOff>
      <xdr:row>5</xdr:row>
      <xdr:rowOff>0</xdr:rowOff>
    </xdr:from>
    <xdr:to>
      <xdr:col>14</xdr:col>
      <xdr:colOff>529135</xdr:colOff>
      <xdr:row>7</xdr:row>
      <xdr:rowOff>124691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B0870FD-23AF-81E7-6FEA-0F6FEDDBAF7D}"/>
            </a:ext>
          </a:extLst>
        </xdr:cNvPr>
        <xdr:cNvSpPr txBox="1"/>
      </xdr:nvSpPr>
      <xdr:spPr>
        <a:xfrm>
          <a:off x="8314858" y="1191491"/>
          <a:ext cx="1143532" cy="6096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200" b="1">
              <a:solidFill>
                <a:srgbClr val="FF0000"/>
              </a:solidFill>
              <a:latin typeface="Arial Rounded MT Bold" panose="020F0704030504030204" pitchFamily="34" charset="0"/>
            </a:rPr>
            <a:t>REGISTRAR INGRESO</a:t>
          </a:r>
        </a:p>
      </xdr:txBody>
    </xdr:sp>
    <xdr:clientData/>
  </xdr:twoCellAnchor>
  <xdr:twoCellAnchor>
    <xdr:from>
      <xdr:col>13</xdr:col>
      <xdr:colOff>312793</xdr:colOff>
      <xdr:row>1</xdr:row>
      <xdr:rowOff>37298</xdr:rowOff>
    </xdr:from>
    <xdr:to>
      <xdr:col>14</xdr:col>
      <xdr:colOff>500361</xdr:colOff>
      <xdr:row>3</xdr:row>
      <xdr:rowOff>255243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106EB71D-9A61-4077-AAB4-9633D77115C2}"/>
            </a:ext>
          </a:extLst>
        </xdr:cNvPr>
        <xdr:cNvSpPr txBox="1"/>
      </xdr:nvSpPr>
      <xdr:spPr>
        <a:xfrm>
          <a:off x="8286084" y="231262"/>
          <a:ext cx="1143532" cy="6197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400" b="1">
              <a:solidFill>
                <a:sysClr val="windowText" lastClr="000000"/>
              </a:solidFill>
              <a:latin typeface="Arial Rounded MT Bold" panose="020F0704030504030204" pitchFamily="34" charset="0"/>
            </a:rPr>
            <a:t>IMPRIMIR RECIBO</a:t>
          </a:r>
        </a:p>
      </xdr:txBody>
    </xdr:sp>
    <xdr:clientData/>
  </xdr:twoCellAnchor>
  <xdr:twoCellAnchor>
    <xdr:from>
      <xdr:col>12</xdr:col>
      <xdr:colOff>322385</xdr:colOff>
      <xdr:row>1</xdr:row>
      <xdr:rowOff>17584</xdr:rowOff>
    </xdr:from>
    <xdr:to>
      <xdr:col>13</xdr:col>
      <xdr:colOff>293077</xdr:colOff>
      <xdr:row>3</xdr:row>
      <xdr:rowOff>257908</xdr:rowOff>
    </xdr:to>
    <xdr:sp macro="" textlink="">
      <xdr:nvSpPr>
        <xdr:cNvPr id="7" name="Flecha: a la derecha 6">
          <a:extLst>
            <a:ext uri="{FF2B5EF4-FFF2-40B4-BE49-F238E27FC236}">
              <a16:creationId xmlns:a16="http://schemas.microsoft.com/office/drawing/2014/main" id="{AB2EF997-631E-AA1B-2B49-D854D840B76C}"/>
            </a:ext>
          </a:extLst>
        </xdr:cNvPr>
        <xdr:cNvSpPr/>
      </xdr:nvSpPr>
      <xdr:spPr>
        <a:xfrm>
          <a:off x="7391400" y="211015"/>
          <a:ext cx="762000" cy="6389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400">
              <a:latin typeface="Arial Black" panose="020B0A04020102020204" pitchFamily="34" charset="0"/>
            </a:rPr>
            <a:t>1ro.</a:t>
          </a:r>
        </a:p>
      </xdr:txBody>
    </xdr:sp>
    <xdr:clientData/>
  </xdr:twoCellAnchor>
  <xdr:twoCellAnchor>
    <xdr:from>
      <xdr:col>13</xdr:col>
      <xdr:colOff>339910</xdr:colOff>
      <xdr:row>9</xdr:row>
      <xdr:rowOff>27711</xdr:rowOff>
    </xdr:from>
    <xdr:to>
      <xdr:col>14</xdr:col>
      <xdr:colOff>527478</xdr:colOff>
      <xdr:row>12</xdr:row>
      <xdr:rowOff>28244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B51986C-5527-45CF-8DC7-1330E854FB53}"/>
            </a:ext>
          </a:extLst>
        </xdr:cNvPr>
        <xdr:cNvSpPr txBox="1"/>
      </xdr:nvSpPr>
      <xdr:spPr>
        <a:xfrm>
          <a:off x="8313201" y="2092038"/>
          <a:ext cx="1143532" cy="582424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BO" sz="1400" b="1">
              <a:solidFill>
                <a:sysClr val="windowText" lastClr="000000"/>
              </a:solidFill>
              <a:latin typeface="Arial Rounded MT Bold" panose="020F0704030504030204" pitchFamily="34" charset="0"/>
            </a:rPr>
            <a:t>NUEVO RECIBO</a:t>
          </a:r>
        </a:p>
      </xdr:txBody>
    </xdr:sp>
    <xdr:clientData/>
  </xdr:twoCellAnchor>
  <xdr:twoCellAnchor>
    <xdr:from>
      <xdr:col>12</xdr:col>
      <xdr:colOff>330200</xdr:colOff>
      <xdr:row>4</xdr:row>
      <xdr:rowOff>257199</xdr:rowOff>
    </xdr:from>
    <xdr:to>
      <xdr:col>13</xdr:col>
      <xdr:colOff>300892</xdr:colOff>
      <xdr:row>7</xdr:row>
      <xdr:rowOff>166254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5CD1EF54-053B-4107-8893-B62170F5C2F4}"/>
            </a:ext>
          </a:extLst>
        </xdr:cNvPr>
        <xdr:cNvSpPr/>
      </xdr:nvSpPr>
      <xdr:spPr>
        <a:xfrm>
          <a:off x="7513782" y="1157744"/>
          <a:ext cx="760401" cy="68491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400">
              <a:latin typeface="Arial Black" panose="020B0A04020102020204" pitchFamily="34" charset="0"/>
            </a:rPr>
            <a:t>2do.</a:t>
          </a:r>
        </a:p>
      </xdr:txBody>
    </xdr:sp>
    <xdr:clientData/>
  </xdr:twoCellAnchor>
  <xdr:twoCellAnchor>
    <xdr:from>
      <xdr:col>12</xdr:col>
      <xdr:colOff>330200</xdr:colOff>
      <xdr:row>9</xdr:row>
      <xdr:rowOff>53107</xdr:rowOff>
    </xdr:from>
    <xdr:to>
      <xdr:col>13</xdr:col>
      <xdr:colOff>300892</xdr:colOff>
      <xdr:row>11</xdr:row>
      <xdr:rowOff>380997</xdr:rowOff>
    </xdr:to>
    <xdr:sp macro="" textlink="">
      <xdr:nvSpPr>
        <xdr:cNvPr id="10" name="Flecha: a la derecha 9">
          <a:extLst>
            <a:ext uri="{FF2B5EF4-FFF2-40B4-BE49-F238E27FC236}">
              <a16:creationId xmlns:a16="http://schemas.microsoft.com/office/drawing/2014/main" id="{2E320F95-945E-4E84-903D-BAE7466503BA}"/>
            </a:ext>
          </a:extLst>
        </xdr:cNvPr>
        <xdr:cNvSpPr/>
      </xdr:nvSpPr>
      <xdr:spPr>
        <a:xfrm>
          <a:off x="7513782" y="2117434"/>
          <a:ext cx="760401" cy="71581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BO" sz="1400">
              <a:latin typeface="Arial Black" panose="020B0A04020102020204" pitchFamily="34" charset="0"/>
            </a:rPr>
            <a:t>3ro.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519860</xdr:colOff>
      <xdr:row>0</xdr:row>
      <xdr:rowOff>47625</xdr:rowOff>
    </xdr:from>
    <xdr:to>
      <xdr:col>14</xdr:col>
      <xdr:colOff>601501</xdr:colOff>
      <xdr:row>2</xdr:row>
      <xdr:rowOff>250031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235" y="47625"/>
          <a:ext cx="2748641" cy="797719"/>
        </a:xfrm>
        <a:prstGeom prst="rect">
          <a:avLst/>
        </a:prstGeom>
      </xdr:spPr>
    </xdr:pic>
    <xdr:clientData/>
  </xdr:twoCellAnchor>
  <xdr:twoCellAnchor editAs="oneCell">
    <xdr:from>
      <xdr:col>10</xdr:col>
      <xdr:colOff>547688</xdr:colOff>
      <xdr:row>25</xdr:row>
      <xdr:rowOff>47619</xdr:rowOff>
    </xdr:from>
    <xdr:to>
      <xdr:col>14</xdr:col>
      <xdr:colOff>666750</xdr:colOff>
      <xdr:row>26</xdr:row>
      <xdr:rowOff>250030</xdr:rowOff>
    </xdr:to>
    <xdr:pic>
      <xdr:nvPicPr>
        <xdr:cNvPr id="6" name="Imagen 5" descr="http://kadieducacion.idracloud.com/images/logos/logo.png?152450145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7063" y="9691682"/>
          <a:ext cx="2786062" cy="51197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0</xdr:row>
      <xdr:rowOff>0</xdr:rowOff>
    </xdr:from>
    <xdr:to>
      <xdr:col>8</xdr:col>
      <xdr:colOff>744855</xdr:colOff>
      <xdr:row>2</xdr:row>
      <xdr:rowOff>83185</xdr:rowOff>
    </xdr:to>
    <xdr:pic>
      <xdr:nvPicPr>
        <xdr:cNvPr id="2" name="Imagen 1" descr="http://kadieducacion.idracloud.com/images/logos/logo.png?152450145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0"/>
          <a:ext cx="4916805" cy="9213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LEGIO/2019%20Despertad/BOLETINES%20INTERNOS%20%202018%20-%20RA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AsusZenbookRafita\AppData\Roaming\Microsoft\AddIns\036%20-%20Funci&#243;n%20UDF%20Convertir%20n&#250;meros%20a%20letras%20-%20EXCELeINFO.xlam" TargetMode="External"/><Relationship Id="rId1" Type="http://schemas.openxmlformats.org/officeDocument/2006/relationships/externalLinkPath" Target="/Users/PcAsusZenbookRafita/AppData/Roaming/Microsoft/AddIns/036%20-%20Funci&#243;n%20UDF%20Convertir%20n&#250;meros%20a%20letras%20-%20EXCELeINFO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1ºP - 6ºP"/>
      <sheetName val="Boleta I"/>
      <sheetName val="Lista 1ºS - 2ºS"/>
      <sheetName val="Boleta II"/>
      <sheetName val="Lista 3ºS - 6ºS"/>
      <sheetName val="Boleta III"/>
      <sheetName val="Códigos"/>
      <sheetName val="cursosRAC"/>
    </sheetNames>
    <sheetDataSet>
      <sheetData sheetId="0">
        <row r="3">
          <cell r="BG3" t="str">
            <v>1ºA Prim</v>
          </cell>
          <cell r="BH3" t="str">
            <v>PRIMERO "A"</v>
          </cell>
        </row>
        <row r="4">
          <cell r="BG4" t="str">
            <v>1ºB Prim</v>
          </cell>
          <cell r="BH4" t="str">
            <v>PRIMERO "B"</v>
          </cell>
        </row>
        <row r="14">
          <cell r="BG14" t="str">
            <v>6º Prim</v>
          </cell>
          <cell r="BH14" t="str">
            <v xml:space="preserve">SEXTO </v>
          </cell>
        </row>
        <row r="15">
          <cell r="BG15" t="str">
            <v>1º Sec</v>
          </cell>
          <cell r="BH15" t="str">
            <v>PRIMERO</v>
          </cell>
        </row>
        <row r="16">
          <cell r="BG16" t="str">
            <v>2º Sec</v>
          </cell>
          <cell r="BH16" t="str">
            <v>SEGUNDO</v>
          </cell>
        </row>
        <row r="17">
          <cell r="BG17" t="str">
            <v>3º Sec</v>
          </cell>
          <cell r="BH17" t="str">
            <v>TERCERO</v>
          </cell>
        </row>
        <row r="18">
          <cell r="BG18" t="str">
            <v>4º Sec</v>
          </cell>
          <cell r="BH18" t="str">
            <v xml:space="preserve">CUARTO </v>
          </cell>
        </row>
        <row r="19">
          <cell r="BG19" t="str">
            <v>5º Sec</v>
          </cell>
          <cell r="BH19" t="str">
            <v>QUINTO</v>
          </cell>
        </row>
        <row r="20">
          <cell r="BG20" t="str">
            <v>6º Sec</v>
          </cell>
          <cell r="BH20" t="str">
            <v xml:space="preserve">SEXTO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ELeINFO"/>
      <sheetName val="Números a letras"/>
      <sheetName val="Hoja1"/>
    </sheetNames>
    <definedNames>
      <definedName name="cMoneda2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C9BC7E-B6A5-4F4C-ABE5-5A4E45F7910A}" name="Tabla1" displayName="Tabla1" ref="A2:H3001" totalsRowCount="1" headerRowDxfId="20" dataDxfId="18" totalsRowDxfId="16" headerRowBorderDxfId="19" tableBorderDxfId="17">
  <autoFilter ref="A2:H3000" xr:uid="{6BC9BC7E-B6A5-4F4C-ABE5-5A4E45F7910A}"/>
  <tableColumns count="8">
    <tableColumn id="1" xr3:uid="{06CCDC77-136B-41AD-BBEA-F01392D735E8}" name="OP No." totalsRowLabel="Total INGRESOS &amp; EGRESOS" dataDxfId="15" totalsRowDxfId="7">
      <calculatedColumnFormula>IF(D3&lt;&gt;"",ROW(A1),"")</calculatedColumnFormula>
    </tableColumn>
    <tableColumn id="2" xr3:uid="{F802A7CE-7475-4FEA-847A-BD156E812478}" name="FECHA" dataDxfId="8" totalsRowDxfId="6"/>
    <tableColumn id="3" xr3:uid="{DD200758-07E4-4F05-9786-7882B81D9DE1}" name="CODIGO" dataDxfId="14" totalsRowDxfId="5"/>
    <tableColumn id="4" xr3:uid="{FDFAE11D-1DC2-41C8-A57A-0344B533B2DB}" name="DETALLE" dataDxfId="13" totalsRowDxfId="4"/>
    <tableColumn id="5" xr3:uid="{1036B222-A1E5-4D5E-BE28-14B76F378663}" name="INGRESO EFECTIVO" totalsRowFunction="sum" dataDxfId="12" totalsRowDxfId="3"/>
    <tableColumn id="6" xr3:uid="{D9269415-72D8-4735-B6AE-55C19B3218A8}" name="INGRESO TRANS.ó QR" totalsRowFunction="sum" dataDxfId="11" totalsRowDxfId="2"/>
    <tableColumn id="7" xr3:uid="{440F0CBC-B829-43C7-BB07-E2C734D5DEAE}" name="EGRESO" totalsRowFunction="sum" dataDxfId="10" totalsRowDxfId="1"/>
    <tableColumn id="8" xr3:uid="{AE5CEC12-25FC-4993-A657-A1E6F10A190F}" name="OBSERVACIONES" dataDxfId="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5370-7DDC-4544-BA53-D680DEF489A3}">
  <sheetPr codeName="Hoja1">
    <pageSetUpPr fitToPage="1"/>
  </sheetPr>
  <dimension ref="A1:P1048575"/>
  <sheetViews>
    <sheetView tabSelected="1" zoomScale="105" zoomScaleNormal="105" workbookViewId="0">
      <selection activeCell="C8" sqref="C8:E9"/>
    </sheetView>
  </sheetViews>
  <sheetFormatPr baseColWidth="10" defaultRowHeight="15" x14ac:dyDescent="0.25"/>
  <cols>
    <col min="1" max="1" width="3.77734375" style="81" customWidth="1"/>
    <col min="2" max="2" width="24.6640625" style="81" customWidth="1"/>
    <col min="3" max="3" width="8.109375" style="81" customWidth="1"/>
    <col min="4" max="4" width="25.109375" style="81" customWidth="1"/>
    <col min="5" max="5" width="10.88671875" style="81" customWidth="1"/>
    <col min="6" max="7" width="5.21875" style="81" customWidth="1"/>
    <col min="8" max="12" width="4.33203125" style="81" customWidth="1"/>
    <col min="13" max="13" width="11.5546875" style="81"/>
    <col min="14" max="14" width="13.88671875" style="81" bestFit="1" customWidth="1"/>
    <col min="15" max="15" width="14.88671875" style="81" bestFit="1" customWidth="1"/>
    <col min="16" max="16" width="38.33203125" style="81" customWidth="1"/>
    <col min="17" max="16384" width="11.5546875" style="81"/>
  </cols>
  <sheetData>
    <row r="1" spans="1:16" x14ac:dyDescent="0.25">
      <c r="A1" s="99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1"/>
    </row>
    <row r="2" spans="1:16" ht="15.6" customHeight="1" x14ac:dyDescent="0.3">
      <c r="A2" s="102"/>
      <c r="D2" s="120" t="s">
        <v>1956</v>
      </c>
      <c r="E2" s="120"/>
      <c r="F2" s="114" t="s">
        <v>2006</v>
      </c>
      <c r="G2" s="114"/>
      <c r="H2" s="115" cm="1">
        <f t="array" ref="H2">MAX(('FLUJO DE CAJA'!D:D&lt;&gt;0)*ROW(('FLUJO DE CAJA'!D:D)))-1</f>
        <v>2</v>
      </c>
      <c r="I2" s="115"/>
      <c r="J2" s="115"/>
      <c r="K2" s="115"/>
      <c r="L2" s="103"/>
    </row>
    <row r="3" spans="1:16" ht="15.6" customHeight="1" x14ac:dyDescent="0.3">
      <c r="A3" s="102"/>
      <c r="D3" s="120"/>
      <c r="E3" s="120"/>
      <c r="F3" s="114"/>
      <c r="G3" s="114"/>
      <c r="H3" s="114"/>
      <c r="I3" s="114"/>
      <c r="J3" s="114"/>
      <c r="K3" s="114"/>
      <c r="L3" s="103"/>
    </row>
    <row r="4" spans="1:16" ht="24" customHeight="1" x14ac:dyDescent="0.5">
      <c r="A4" s="102"/>
      <c r="D4" s="119" t="s">
        <v>2005</v>
      </c>
      <c r="E4" s="119"/>
      <c r="F4" s="192" t="s">
        <v>2024</v>
      </c>
      <c r="G4" s="192"/>
      <c r="H4" s="190">
        <v>2341.56</v>
      </c>
      <c r="I4" s="190"/>
      <c r="J4" s="190"/>
      <c r="K4" s="190"/>
      <c r="L4" s="103"/>
      <c r="P4" s="237" t="s">
        <v>2215</v>
      </c>
    </row>
    <row r="5" spans="1:16" ht="22.8" customHeight="1" x14ac:dyDescent="0.25">
      <c r="A5" s="102"/>
      <c r="E5" s="104" t="s">
        <v>2007</v>
      </c>
      <c r="F5" s="192" t="s">
        <v>2025</v>
      </c>
      <c r="G5" s="192"/>
      <c r="H5" s="190"/>
      <c r="I5" s="190"/>
      <c r="J5" s="190"/>
      <c r="K5" s="190"/>
      <c r="L5" s="103"/>
      <c r="P5" s="239" t="s">
        <v>2217</v>
      </c>
    </row>
    <row r="6" spans="1:16" ht="22.8" customHeight="1" x14ac:dyDescent="0.25">
      <c r="A6" s="102"/>
      <c r="B6" s="118" t="s">
        <v>2000</v>
      </c>
      <c r="C6" s="186" t="s">
        <v>2022</v>
      </c>
      <c r="D6" s="187"/>
      <c r="E6" s="109" t="s">
        <v>131</v>
      </c>
      <c r="F6" s="192" t="s">
        <v>2003</v>
      </c>
      <c r="G6" s="192"/>
      <c r="H6" s="190"/>
      <c r="I6" s="190"/>
      <c r="J6" s="190"/>
      <c r="K6" s="190"/>
      <c r="L6" s="103"/>
      <c r="P6" s="238" t="s">
        <v>48</v>
      </c>
    </row>
    <row r="7" spans="1:16" x14ac:dyDescent="0.25">
      <c r="A7" s="102"/>
      <c r="B7" s="118"/>
      <c r="C7" s="188"/>
      <c r="D7" s="189"/>
      <c r="E7" s="201">
        <v>2018088</v>
      </c>
      <c r="F7" s="111" t="s">
        <v>2010</v>
      </c>
      <c r="G7" s="111"/>
      <c r="H7" s="111"/>
      <c r="I7" s="111"/>
      <c r="J7" s="111"/>
      <c r="K7" s="111"/>
      <c r="L7" s="103"/>
      <c r="P7" s="239" t="s">
        <v>131</v>
      </c>
    </row>
    <row r="8" spans="1:16" ht="15" customHeight="1" x14ac:dyDescent="0.25">
      <c r="A8" s="102"/>
      <c r="B8" s="118" t="s">
        <v>2001</v>
      </c>
      <c r="C8" s="185" t="str" cm="1">
        <f t="array" ref="C8">IF(H4="", IF(H5="",IF(H6="","",[2]!cMoneda2(H6,"DOLAR AMERICANO","DOLARES AMERICANOS",0)),[2]!cMoneda2(H5,"BOLIVIANO","BOLIVIANOS",0)),[2]!cMoneda2(H4,"BOLIVIANO","BOLIVIANOS",0))</f>
        <v xml:space="preserve">DOS MIL TRESCIENTOS CUARENTA Y UN BOLIVIANOS 56/100 </v>
      </c>
      <c r="D8" s="185"/>
      <c r="E8" s="185"/>
      <c r="F8" s="109" t="s">
        <v>2011</v>
      </c>
      <c r="G8" s="180"/>
      <c r="H8" s="109" t="s">
        <v>2012</v>
      </c>
      <c r="I8" s="180"/>
      <c r="J8" s="109" t="s">
        <v>2013</v>
      </c>
      <c r="K8" s="180"/>
      <c r="L8" s="103"/>
      <c r="P8" s="240">
        <f>VLOOKUP(P6,Códigos!C2:M858,11,FALSE)</f>
        <v>2018088</v>
      </c>
    </row>
    <row r="9" spans="1:16" x14ac:dyDescent="0.25">
      <c r="A9" s="102"/>
      <c r="B9" s="118"/>
      <c r="C9" s="185"/>
      <c r="D9" s="185"/>
      <c r="E9" s="185"/>
      <c r="F9" s="109" t="s">
        <v>2014</v>
      </c>
      <c r="G9" s="180"/>
      <c r="H9" s="109" t="s">
        <v>2015</v>
      </c>
      <c r="I9" s="180"/>
      <c r="J9" s="109" t="s">
        <v>2016</v>
      </c>
      <c r="K9" s="181"/>
      <c r="L9" s="103"/>
      <c r="P9" s="241"/>
    </row>
    <row r="10" spans="1:16" x14ac:dyDescent="0.25">
      <c r="A10" s="102"/>
      <c r="B10" s="118" t="s">
        <v>2002</v>
      </c>
      <c r="C10" s="202" t="s">
        <v>1964</v>
      </c>
      <c r="D10" s="203"/>
      <c r="E10" s="204"/>
      <c r="F10" s="109" t="s">
        <v>2017</v>
      </c>
      <c r="G10" s="180"/>
      <c r="H10" s="109" t="s">
        <v>2018</v>
      </c>
      <c r="I10" s="180"/>
      <c r="J10" s="109" t="s">
        <v>2019</v>
      </c>
      <c r="K10" s="181"/>
      <c r="L10" s="103"/>
    </row>
    <row r="11" spans="1:16" x14ac:dyDescent="0.25">
      <c r="A11" s="102"/>
      <c r="B11" s="118"/>
      <c r="C11" s="242"/>
      <c r="D11" s="243"/>
      <c r="E11" s="244"/>
      <c r="F11" s="245" t="s">
        <v>2020</v>
      </c>
      <c r="G11" s="246"/>
      <c r="H11" s="247" t="s">
        <v>2021</v>
      </c>
      <c r="I11" s="248"/>
      <c r="J11" s="183"/>
      <c r="K11" s="184"/>
      <c r="L11" s="103"/>
    </row>
    <row r="12" spans="1:16" ht="30.6" customHeight="1" x14ac:dyDescent="0.25">
      <c r="A12" s="102"/>
      <c r="B12" s="269" t="s">
        <v>2026</v>
      </c>
      <c r="C12" s="249"/>
      <c r="D12" s="250"/>
      <c r="E12" s="250"/>
      <c r="F12" s="250"/>
      <c r="G12" s="250"/>
      <c r="H12" s="250"/>
      <c r="I12" s="250"/>
      <c r="J12" s="250"/>
      <c r="K12" s="251"/>
      <c r="L12" s="103"/>
    </row>
    <row r="13" spans="1:16" ht="15" customHeight="1" x14ac:dyDescent="0.25">
      <c r="A13" s="102"/>
      <c r="B13" s="270"/>
      <c r="C13" s="263" t="str">
        <f>IF(E7="","",CONCATENATE("Alumnos : ",VLOOKUP(E7,Códigos!A2:L858,3,FALSE)," - Padres : ",VLOOKUP(E7,Códigos!A2:L858,4,FALSE)," - Cursos : ",VLOOKUP(E7,Códigos!A2:L858,2,FALSE)," - Pensión : ",VLOOKUP(E7,Códigos!A2:L858,9,FALSE),," - Pensión KADI : ",VLOOKUP(E7,Códigos!A2:L858,10,FALSE)))</f>
        <v>Alumnos : Galindo Puña Sara - Padres : MARCELA - HENRY - Cursos : 4º Prim - Pensión : 823 - Pensión KADI : 364</v>
      </c>
      <c r="D13" s="264"/>
      <c r="E13" s="264"/>
      <c r="F13" s="264"/>
      <c r="G13" s="264"/>
      <c r="H13" s="264"/>
      <c r="I13" s="264"/>
      <c r="J13" s="264"/>
      <c r="K13" s="265"/>
      <c r="L13" s="103"/>
    </row>
    <row r="14" spans="1:16" x14ac:dyDescent="0.25">
      <c r="A14" s="102"/>
      <c r="B14" s="271"/>
      <c r="C14" s="266"/>
      <c r="D14" s="267"/>
      <c r="E14" s="267"/>
      <c r="F14" s="267"/>
      <c r="G14" s="267"/>
      <c r="H14" s="267"/>
      <c r="I14" s="267"/>
      <c r="J14" s="267"/>
      <c r="K14" s="268"/>
      <c r="L14" s="103"/>
    </row>
    <row r="15" spans="1:16" x14ac:dyDescent="0.25">
      <c r="A15" s="102"/>
      <c r="L15" s="103"/>
    </row>
    <row r="16" spans="1:16" x14ac:dyDescent="0.25">
      <c r="A16" s="102"/>
      <c r="B16" s="105"/>
      <c r="C16" s="105" t="s">
        <v>2004</v>
      </c>
      <c r="D16" s="182">
        <v>45308</v>
      </c>
      <c r="E16" s="182"/>
      <c r="F16" s="182"/>
      <c r="G16" s="182"/>
      <c r="H16" s="182"/>
      <c r="I16" s="182"/>
      <c r="J16" s="182"/>
      <c r="L16" s="103"/>
    </row>
    <row r="17" spans="1:12" x14ac:dyDescent="0.25">
      <c r="A17" s="102"/>
      <c r="L17" s="103"/>
    </row>
    <row r="18" spans="1:12" x14ac:dyDescent="0.25">
      <c r="A18" s="102"/>
      <c r="L18" s="103"/>
    </row>
    <row r="19" spans="1:12" ht="15.6" thickBot="1" x14ac:dyDescent="0.3">
      <c r="A19" s="102"/>
      <c r="B19" s="113"/>
      <c r="C19" s="113"/>
      <c r="E19" s="113"/>
      <c r="F19" s="113"/>
      <c r="G19" s="113"/>
      <c r="H19" s="113"/>
      <c r="I19" s="113"/>
      <c r="J19" s="113"/>
      <c r="L19" s="103"/>
    </row>
    <row r="20" spans="1:12" ht="16.2" thickTop="1" x14ac:dyDescent="0.3">
      <c r="A20" s="102"/>
      <c r="B20" s="198" t="s">
        <v>2009</v>
      </c>
      <c r="C20" s="198"/>
      <c r="D20" s="199"/>
      <c r="E20" s="198" t="s">
        <v>2008</v>
      </c>
      <c r="F20" s="198"/>
      <c r="G20" s="198"/>
      <c r="H20" s="198"/>
      <c r="I20" s="198"/>
      <c r="J20" s="198"/>
      <c r="L20" s="103"/>
    </row>
    <row r="21" spans="1:12" ht="15.6" thickBot="1" x14ac:dyDescent="0.3">
      <c r="A21" s="106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8"/>
    </row>
    <row r="22" spans="1:12" ht="15.6" thickBot="1" x14ac:dyDescent="0.3"/>
    <row r="23" spans="1:12" x14ac:dyDescent="0.25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1"/>
    </row>
    <row r="24" spans="1:12" ht="15.6" x14ac:dyDescent="0.3">
      <c r="A24" s="102"/>
      <c r="D24" s="120" t="s">
        <v>1956</v>
      </c>
      <c r="E24" s="120"/>
      <c r="F24" s="114" t="s">
        <v>2006</v>
      </c>
      <c r="G24" s="114"/>
      <c r="H24" s="115">
        <f>H2</f>
        <v>2</v>
      </c>
      <c r="I24" s="115"/>
      <c r="J24" s="115"/>
      <c r="K24" s="115"/>
      <c r="L24" s="103"/>
    </row>
    <row r="25" spans="1:12" ht="15.6" x14ac:dyDescent="0.3">
      <c r="A25" s="102"/>
      <c r="D25" s="120"/>
      <c r="E25" s="120"/>
      <c r="F25" s="114"/>
      <c r="G25" s="114"/>
      <c r="H25" s="114"/>
      <c r="I25" s="114"/>
      <c r="J25" s="114"/>
      <c r="K25" s="114"/>
      <c r="L25" s="103"/>
    </row>
    <row r="26" spans="1:12" ht="24" x14ac:dyDescent="0.5">
      <c r="A26" s="102"/>
      <c r="D26" s="119" t="s">
        <v>2005</v>
      </c>
      <c r="E26" s="119"/>
      <c r="F26" s="192" t="s">
        <v>2024</v>
      </c>
      <c r="G26" s="192"/>
      <c r="H26" s="193">
        <v>1456.2</v>
      </c>
      <c r="I26" s="193"/>
      <c r="J26" s="193"/>
      <c r="K26" s="193"/>
      <c r="L26" s="103"/>
    </row>
    <row r="27" spans="1:12" ht="22.2" customHeight="1" x14ac:dyDescent="0.25">
      <c r="A27" s="102"/>
      <c r="E27" s="104" t="s">
        <v>2007</v>
      </c>
      <c r="F27" s="192" t="s">
        <v>2025</v>
      </c>
      <c r="G27" s="192"/>
      <c r="H27" s="193"/>
      <c r="I27" s="193"/>
      <c r="J27" s="193"/>
      <c r="K27" s="193"/>
      <c r="L27" s="103"/>
    </row>
    <row r="28" spans="1:12" ht="22.2" customHeight="1" x14ac:dyDescent="0.25">
      <c r="A28" s="102"/>
      <c r="B28" s="118" t="s">
        <v>2000</v>
      </c>
      <c r="C28" s="194" t="str">
        <f>C6</f>
        <v>Rafucho Rafuchin</v>
      </c>
      <c r="D28" s="195"/>
      <c r="E28" s="109" t="s">
        <v>131</v>
      </c>
      <c r="F28" s="192" t="s">
        <v>2003</v>
      </c>
      <c r="G28" s="192"/>
      <c r="H28" s="193"/>
      <c r="I28" s="193"/>
      <c r="J28" s="193"/>
      <c r="K28" s="193"/>
      <c r="L28" s="103"/>
    </row>
    <row r="29" spans="1:12" x14ac:dyDescent="0.25">
      <c r="A29" s="102"/>
      <c r="B29" s="118"/>
      <c r="C29" s="196"/>
      <c r="D29" s="197"/>
      <c r="E29" s="200">
        <f>E7</f>
        <v>2018088</v>
      </c>
      <c r="F29" s="111" t="s">
        <v>2010</v>
      </c>
      <c r="G29" s="111"/>
      <c r="H29" s="111"/>
      <c r="I29" s="111"/>
      <c r="J29" s="111"/>
      <c r="K29" s="111"/>
      <c r="L29" s="103"/>
    </row>
    <row r="30" spans="1:12" x14ac:dyDescent="0.25">
      <c r="A30" s="102"/>
      <c r="B30" s="118" t="s">
        <v>2001</v>
      </c>
      <c r="C30" s="185" t="str">
        <f>C8</f>
        <v xml:space="preserve">DOS MIL TRESCIENTOS CUARENTA Y UN BOLIVIANOS 56/100 </v>
      </c>
      <c r="D30" s="185"/>
      <c r="E30" s="185"/>
      <c r="F30" s="109" t="s">
        <v>2011</v>
      </c>
      <c r="G30" s="109"/>
      <c r="H30" s="109" t="s">
        <v>2012</v>
      </c>
      <c r="I30" s="109"/>
      <c r="J30" s="109" t="s">
        <v>2013</v>
      </c>
      <c r="K30" s="109"/>
      <c r="L30" s="103"/>
    </row>
    <row r="31" spans="1:12" x14ac:dyDescent="0.25">
      <c r="A31" s="102"/>
      <c r="B31" s="118"/>
      <c r="C31" s="185"/>
      <c r="D31" s="185"/>
      <c r="E31" s="185"/>
      <c r="F31" s="109" t="s">
        <v>2014</v>
      </c>
      <c r="G31" s="109"/>
      <c r="H31" s="109" t="s">
        <v>2015</v>
      </c>
      <c r="I31" s="109"/>
      <c r="J31" s="109" t="s">
        <v>2016</v>
      </c>
      <c r="K31" s="110"/>
      <c r="L31" s="103"/>
    </row>
    <row r="32" spans="1:12" x14ac:dyDescent="0.25">
      <c r="A32" s="102"/>
      <c r="B32" s="118" t="s">
        <v>2002</v>
      </c>
      <c r="C32" s="185" t="str">
        <f>C10</f>
        <v>INGRESOS MENSUALIDAD COLEGIO DESPERTAD</v>
      </c>
      <c r="D32" s="185"/>
      <c r="E32" s="185"/>
      <c r="F32" s="109" t="s">
        <v>2017</v>
      </c>
      <c r="G32" s="109"/>
      <c r="H32" s="109" t="s">
        <v>2018</v>
      </c>
      <c r="I32" s="109"/>
      <c r="J32" s="109" t="s">
        <v>2019</v>
      </c>
      <c r="K32" s="110"/>
      <c r="L32" s="103"/>
    </row>
    <row r="33" spans="1:12" x14ac:dyDescent="0.25">
      <c r="A33" s="102"/>
      <c r="B33" s="118"/>
      <c r="C33" s="255"/>
      <c r="D33" s="255"/>
      <c r="E33" s="255"/>
      <c r="F33" s="245" t="s">
        <v>2020</v>
      </c>
      <c r="G33" s="245"/>
      <c r="H33" s="247" t="s">
        <v>2021</v>
      </c>
      <c r="I33" s="248"/>
      <c r="J33" s="247"/>
      <c r="K33" s="248"/>
      <c r="L33" s="103"/>
    </row>
    <row r="34" spans="1:12" ht="30.6" customHeight="1" x14ac:dyDescent="0.25">
      <c r="A34" s="102"/>
      <c r="B34" s="116" t="s">
        <v>2026</v>
      </c>
      <c r="C34" s="256">
        <f>C12</f>
        <v>0</v>
      </c>
      <c r="D34" s="252"/>
      <c r="E34" s="252"/>
      <c r="F34" s="252"/>
      <c r="G34" s="252"/>
      <c r="H34" s="252"/>
      <c r="I34" s="252"/>
      <c r="J34" s="252"/>
      <c r="K34" s="257"/>
      <c r="L34" s="103"/>
    </row>
    <row r="35" spans="1:12" x14ac:dyDescent="0.25">
      <c r="A35" s="102"/>
      <c r="B35" s="254"/>
      <c r="C35" s="258" t="str">
        <f>C13</f>
        <v>Alumnos : Galindo Puña Sara - Padres : MARCELA - HENRY - Cursos : 4º Prim - Pensión : 823 - Pensión KADI : 364</v>
      </c>
      <c r="D35" s="253"/>
      <c r="E35" s="253"/>
      <c r="F35" s="253"/>
      <c r="G35" s="253"/>
      <c r="H35" s="253"/>
      <c r="I35" s="253"/>
      <c r="J35" s="253"/>
      <c r="K35" s="259"/>
      <c r="L35" s="103"/>
    </row>
    <row r="36" spans="1:12" x14ac:dyDescent="0.25">
      <c r="A36" s="102"/>
      <c r="B36" s="117"/>
      <c r="C36" s="260"/>
      <c r="D36" s="261"/>
      <c r="E36" s="261"/>
      <c r="F36" s="261"/>
      <c r="G36" s="261"/>
      <c r="H36" s="261"/>
      <c r="I36" s="261"/>
      <c r="J36" s="261"/>
      <c r="K36" s="262"/>
      <c r="L36" s="103"/>
    </row>
    <row r="37" spans="1:12" x14ac:dyDescent="0.25">
      <c r="A37" s="102"/>
      <c r="L37" s="103"/>
    </row>
    <row r="38" spans="1:12" x14ac:dyDescent="0.25">
      <c r="A38" s="102"/>
      <c r="B38" s="105"/>
      <c r="C38" s="105" t="s">
        <v>2004</v>
      </c>
      <c r="D38" s="112">
        <f>D16</f>
        <v>45308</v>
      </c>
      <c r="E38" s="112"/>
      <c r="F38" s="112"/>
      <c r="G38" s="112"/>
      <c r="H38" s="112"/>
      <c r="I38" s="112"/>
      <c r="J38" s="112"/>
      <c r="L38" s="103"/>
    </row>
    <row r="39" spans="1:12" x14ac:dyDescent="0.25">
      <c r="A39" s="102"/>
      <c r="L39" s="103"/>
    </row>
    <row r="40" spans="1:12" x14ac:dyDescent="0.25">
      <c r="A40" s="102"/>
      <c r="L40" s="103"/>
    </row>
    <row r="41" spans="1:12" ht="15.6" thickBot="1" x14ac:dyDescent="0.3">
      <c r="A41" s="102"/>
      <c r="B41" s="113"/>
      <c r="C41" s="113"/>
      <c r="E41" s="113"/>
      <c r="F41" s="113"/>
      <c r="G41" s="113"/>
      <c r="H41" s="113"/>
      <c r="I41" s="113"/>
      <c r="J41" s="113"/>
      <c r="L41" s="103"/>
    </row>
    <row r="42" spans="1:12" ht="16.2" thickTop="1" x14ac:dyDescent="0.3">
      <c r="A42" s="102"/>
      <c r="B42" s="198" t="s">
        <v>2009</v>
      </c>
      <c r="C42" s="198"/>
      <c r="D42" s="199"/>
      <c r="E42" s="198" t="s">
        <v>2008</v>
      </c>
      <c r="F42" s="198"/>
      <c r="G42" s="198"/>
      <c r="H42" s="198"/>
      <c r="I42" s="198"/>
      <c r="J42" s="198"/>
      <c r="L42" s="103"/>
    </row>
    <row r="43" spans="1:12" ht="15.6" thickBot="1" x14ac:dyDescent="0.3">
      <c r="A43" s="106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8"/>
    </row>
    <row r="1048565" spans="15:15" x14ac:dyDescent="0.25">
      <c r="O1048565" s="81" t="b">
        <v>0</v>
      </c>
    </row>
    <row r="1048566" spans="15:15" x14ac:dyDescent="0.25">
      <c r="O1048566" s="81" t="b">
        <v>0</v>
      </c>
    </row>
    <row r="1048567" spans="15:15" x14ac:dyDescent="0.25">
      <c r="O1048567" s="81" t="b">
        <v>0</v>
      </c>
    </row>
    <row r="1048568" spans="15:15" x14ac:dyDescent="0.25">
      <c r="O1048568" s="81" t="b">
        <v>0</v>
      </c>
    </row>
    <row r="1048569" spans="15:15" x14ac:dyDescent="0.25">
      <c r="O1048569" s="81" t="b">
        <v>0</v>
      </c>
    </row>
    <row r="1048570" spans="15:15" x14ac:dyDescent="0.25">
      <c r="O1048570" s="81" t="b">
        <v>0</v>
      </c>
    </row>
    <row r="1048571" spans="15:15" x14ac:dyDescent="0.25">
      <c r="O1048571" s="81" t="b">
        <v>0</v>
      </c>
    </row>
    <row r="1048572" spans="15:15" x14ac:dyDescent="0.25">
      <c r="O1048572" s="81" t="b">
        <v>0</v>
      </c>
    </row>
    <row r="1048573" spans="15:15" x14ac:dyDescent="0.25">
      <c r="O1048573" s="81" t="b">
        <v>0</v>
      </c>
    </row>
    <row r="1048574" spans="15:15" x14ac:dyDescent="0.25">
      <c r="O1048574" s="81" t="b">
        <v>0</v>
      </c>
    </row>
    <row r="1048575" spans="15:15" x14ac:dyDescent="0.25">
      <c r="O1048575" s="81" t="b">
        <v>0</v>
      </c>
    </row>
  </sheetData>
  <mergeCells count="57">
    <mergeCell ref="P8:P9"/>
    <mergeCell ref="C13:K14"/>
    <mergeCell ref="C12:K12"/>
    <mergeCell ref="B12:B14"/>
    <mergeCell ref="B34:B36"/>
    <mergeCell ref="C35:K36"/>
    <mergeCell ref="H28:K28"/>
    <mergeCell ref="D16:J16"/>
    <mergeCell ref="D38:J38"/>
    <mergeCell ref="C34:K34"/>
    <mergeCell ref="B6:B7"/>
    <mergeCell ref="B8:B9"/>
    <mergeCell ref="C8:E9"/>
    <mergeCell ref="D4:E4"/>
    <mergeCell ref="D2:E3"/>
    <mergeCell ref="B20:C20"/>
    <mergeCell ref="B19:C19"/>
    <mergeCell ref="D24:E25"/>
    <mergeCell ref="D26:E26"/>
    <mergeCell ref="B10:B11"/>
    <mergeCell ref="B28:B29"/>
    <mergeCell ref="C28:D29"/>
    <mergeCell ref="B30:B31"/>
    <mergeCell ref="C30:E31"/>
    <mergeCell ref="B32:B33"/>
    <mergeCell ref="C32:E33"/>
    <mergeCell ref="B41:C41"/>
    <mergeCell ref="B42:C42"/>
    <mergeCell ref="E41:J41"/>
    <mergeCell ref="E42:J42"/>
    <mergeCell ref="H2:K2"/>
    <mergeCell ref="H4:K4"/>
    <mergeCell ref="H5:K5"/>
    <mergeCell ref="F2:G2"/>
    <mergeCell ref="F6:G6"/>
    <mergeCell ref="H6:K6"/>
    <mergeCell ref="H11:I11"/>
    <mergeCell ref="J11:K11"/>
    <mergeCell ref="C10:E11"/>
    <mergeCell ref="F3:K3"/>
    <mergeCell ref="F4:G4"/>
    <mergeCell ref="F5:G5"/>
    <mergeCell ref="F7:K7"/>
    <mergeCell ref="C6:D7"/>
    <mergeCell ref="F29:K29"/>
    <mergeCell ref="H33:I33"/>
    <mergeCell ref="J33:K33"/>
    <mergeCell ref="E19:J19"/>
    <mergeCell ref="E20:J20"/>
    <mergeCell ref="F24:G24"/>
    <mergeCell ref="H24:K24"/>
    <mergeCell ref="F25:K25"/>
    <mergeCell ref="F27:G27"/>
    <mergeCell ref="H27:K27"/>
    <mergeCell ref="F26:G26"/>
    <mergeCell ref="H26:K26"/>
    <mergeCell ref="F28:G28"/>
  </mergeCells>
  <pageMargins left="0.31496062992125984" right="0.23622047244094491" top="0.59055118110236227" bottom="0.43307086614173229" header="0.31496062992125984" footer="0.31496062992125984"/>
  <pageSetup scale="9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0" r:id="rId4" name="Check Box 4">
              <controlPr defaultSize="0" autoFill="0" autoLine="0" autoPict="0">
                <anchor moveWithCells="1">
                  <from>
                    <xdr:col>6</xdr:col>
                    <xdr:colOff>22860</xdr:colOff>
                    <xdr:row>6</xdr:row>
                    <xdr:rowOff>182880</xdr:rowOff>
                  </from>
                  <to>
                    <xdr:col>6</xdr:col>
                    <xdr:colOff>266700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5" name="Check Box 5">
              <controlPr defaultSize="0" autoFill="0" autoLine="0" autoPict="0">
                <anchor moveWithCells="1">
                  <from>
                    <xdr:col>8</xdr:col>
                    <xdr:colOff>30480</xdr:colOff>
                    <xdr:row>6</xdr:row>
                    <xdr:rowOff>175260</xdr:rowOff>
                  </from>
                  <to>
                    <xdr:col>8</xdr:col>
                    <xdr:colOff>274320</xdr:colOff>
                    <xdr:row>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6" name="Check Box 6">
              <controlPr defaultSize="0" autoFill="0" autoLine="0" autoPict="0">
                <anchor moveWithCells="1">
                  <from>
                    <xdr:col>10</xdr:col>
                    <xdr:colOff>30480</xdr:colOff>
                    <xdr:row>6</xdr:row>
                    <xdr:rowOff>167640</xdr:rowOff>
                  </from>
                  <to>
                    <xdr:col>10</xdr:col>
                    <xdr:colOff>274320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7" name="Check Box 7">
              <controlPr defaultSize="0" autoFill="0" autoLine="0" autoPict="0">
                <anchor moveWithCells="1">
                  <from>
                    <xdr:col>6</xdr:col>
                    <xdr:colOff>30480</xdr:colOff>
                    <xdr:row>7</xdr:row>
                    <xdr:rowOff>167640</xdr:rowOff>
                  </from>
                  <to>
                    <xdr:col>6</xdr:col>
                    <xdr:colOff>266700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8" name="Check Box 8">
              <controlPr defaultSize="0" autoFill="0" autoLine="0" autoPict="0">
                <anchor moveWithCells="1">
                  <from>
                    <xdr:col>8</xdr:col>
                    <xdr:colOff>30480</xdr:colOff>
                    <xdr:row>7</xdr:row>
                    <xdr:rowOff>182880</xdr:rowOff>
                  </from>
                  <to>
                    <xdr:col>8</xdr:col>
                    <xdr:colOff>274320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9" name="Check Box 9">
              <controlPr defaultSize="0" autoFill="0" autoLine="0" autoPict="0">
                <anchor moveWithCells="1">
                  <from>
                    <xdr:col>10</xdr:col>
                    <xdr:colOff>38100</xdr:colOff>
                    <xdr:row>7</xdr:row>
                    <xdr:rowOff>175260</xdr:rowOff>
                  </from>
                  <to>
                    <xdr:col>10</xdr:col>
                    <xdr:colOff>281940</xdr:colOff>
                    <xdr:row>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0" name="Check Box 10">
              <controlPr defaultSize="0" autoFill="0" autoLine="0" autoPict="0">
                <anchor moveWithCells="1">
                  <from>
                    <xdr:col>6</xdr:col>
                    <xdr:colOff>30480</xdr:colOff>
                    <xdr:row>8</xdr:row>
                    <xdr:rowOff>182880</xdr:rowOff>
                  </from>
                  <to>
                    <xdr:col>6</xdr:col>
                    <xdr:colOff>266700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1" name="Check Box 11">
              <controlPr defaultSize="0" autoFill="0" autoLine="0" autoPict="0">
                <anchor moveWithCells="1">
                  <from>
                    <xdr:col>8</xdr:col>
                    <xdr:colOff>38100</xdr:colOff>
                    <xdr:row>8</xdr:row>
                    <xdr:rowOff>175260</xdr:rowOff>
                  </from>
                  <to>
                    <xdr:col>8</xdr:col>
                    <xdr:colOff>274320</xdr:colOff>
                    <xdr:row>10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2" name="Check Box 12">
              <controlPr defaultSize="0" autoFill="0" autoLine="0" autoPict="0">
                <anchor moveWithCells="1">
                  <from>
                    <xdr:col>10</xdr:col>
                    <xdr:colOff>38100</xdr:colOff>
                    <xdr:row>8</xdr:row>
                    <xdr:rowOff>167640</xdr:rowOff>
                  </from>
                  <to>
                    <xdr:col>10</xdr:col>
                    <xdr:colOff>281940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3" name="Check Box 13">
              <controlPr defaultSize="0" autoFill="0" autoLine="0" autoPict="0">
                <anchor moveWithCells="1">
                  <from>
                    <xdr:col>6</xdr:col>
                    <xdr:colOff>30480</xdr:colOff>
                    <xdr:row>9</xdr:row>
                    <xdr:rowOff>175260</xdr:rowOff>
                  </from>
                  <to>
                    <xdr:col>6</xdr:col>
                    <xdr:colOff>274320</xdr:colOff>
                    <xdr:row>11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4" name="Check Box 14">
              <controlPr defaultSize="0" autoFill="0" autoLine="0" autoPict="0">
                <anchor moveWithCells="1">
                  <from>
                    <xdr:col>9</xdr:col>
                    <xdr:colOff>160020</xdr:colOff>
                    <xdr:row>9</xdr:row>
                    <xdr:rowOff>167640</xdr:rowOff>
                  </from>
                  <to>
                    <xdr:col>10</xdr:col>
                    <xdr:colOff>121920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15" name="Check Box 27">
              <controlPr defaultSize="0" autoFill="0" autoLine="0" autoPict="0">
                <anchor moveWithCells="1">
                  <from>
                    <xdr:col>6</xdr:col>
                    <xdr:colOff>22860</xdr:colOff>
                    <xdr:row>28</xdr:row>
                    <xdr:rowOff>182880</xdr:rowOff>
                  </from>
                  <to>
                    <xdr:col>6</xdr:col>
                    <xdr:colOff>266700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16" name="Check Box 28">
              <controlPr defaultSize="0" autoFill="0" autoLine="0" autoPict="0">
                <anchor moveWithCells="1">
                  <from>
                    <xdr:col>8</xdr:col>
                    <xdr:colOff>30480</xdr:colOff>
                    <xdr:row>28</xdr:row>
                    <xdr:rowOff>175260</xdr:rowOff>
                  </from>
                  <to>
                    <xdr:col>8</xdr:col>
                    <xdr:colOff>274320</xdr:colOff>
                    <xdr:row>30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17" name="Check Box 29">
              <controlPr defaultSize="0" autoFill="0" autoLine="0" autoPict="0">
                <anchor moveWithCells="1">
                  <from>
                    <xdr:col>10</xdr:col>
                    <xdr:colOff>30480</xdr:colOff>
                    <xdr:row>28</xdr:row>
                    <xdr:rowOff>167640</xdr:rowOff>
                  </from>
                  <to>
                    <xdr:col>10</xdr:col>
                    <xdr:colOff>274320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18" name="Check Box 30">
              <controlPr defaultSize="0" autoFill="0" autoLine="0" autoPict="0">
                <anchor moveWithCells="1">
                  <from>
                    <xdr:col>6</xdr:col>
                    <xdr:colOff>30480</xdr:colOff>
                    <xdr:row>29</xdr:row>
                    <xdr:rowOff>167640</xdr:rowOff>
                  </from>
                  <to>
                    <xdr:col>6</xdr:col>
                    <xdr:colOff>266700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19" name="Check Box 31">
              <controlPr defaultSize="0" autoFill="0" autoLine="0" autoPict="0">
                <anchor moveWithCells="1">
                  <from>
                    <xdr:col>8</xdr:col>
                    <xdr:colOff>30480</xdr:colOff>
                    <xdr:row>29</xdr:row>
                    <xdr:rowOff>182880</xdr:rowOff>
                  </from>
                  <to>
                    <xdr:col>8</xdr:col>
                    <xdr:colOff>274320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20" name="Check Box 32">
              <controlPr defaultSize="0" autoFill="0" autoLine="0" autoPict="0">
                <anchor moveWithCells="1">
                  <from>
                    <xdr:col>10</xdr:col>
                    <xdr:colOff>38100</xdr:colOff>
                    <xdr:row>29</xdr:row>
                    <xdr:rowOff>175260</xdr:rowOff>
                  </from>
                  <to>
                    <xdr:col>10</xdr:col>
                    <xdr:colOff>281940</xdr:colOff>
                    <xdr:row>31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21" name="Check Box 33">
              <controlPr defaultSize="0" autoFill="0" autoLine="0" autoPict="0">
                <anchor moveWithCells="1">
                  <from>
                    <xdr:col>6</xdr:col>
                    <xdr:colOff>30480</xdr:colOff>
                    <xdr:row>30</xdr:row>
                    <xdr:rowOff>182880</xdr:rowOff>
                  </from>
                  <to>
                    <xdr:col>6</xdr:col>
                    <xdr:colOff>266700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22" name="Check Box 34">
              <controlPr defaultSize="0" autoFill="0" autoLine="0" autoPict="0">
                <anchor moveWithCells="1">
                  <from>
                    <xdr:col>8</xdr:col>
                    <xdr:colOff>38100</xdr:colOff>
                    <xdr:row>30</xdr:row>
                    <xdr:rowOff>175260</xdr:rowOff>
                  </from>
                  <to>
                    <xdr:col>8</xdr:col>
                    <xdr:colOff>274320</xdr:colOff>
                    <xdr:row>32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23" name="Check Box 35">
              <controlPr defaultSize="0" autoFill="0" autoLine="0" autoPict="0">
                <anchor moveWithCells="1">
                  <from>
                    <xdr:col>10</xdr:col>
                    <xdr:colOff>38100</xdr:colOff>
                    <xdr:row>30</xdr:row>
                    <xdr:rowOff>167640</xdr:rowOff>
                  </from>
                  <to>
                    <xdr:col>10</xdr:col>
                    <xdr:colOff>281940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24" name="Check Box 36">
              <controlPr defaultSize="0" autoFill="0" autoLine="0" autoPict="0">
                <anchor moveWithCells="1">
                  <from>
                    <xdr:col>6</xdr:col>
                    <xdr:colOff>30480</xdr:colOff>
                    <xdr:row>31</xdr:row>
                    <xdr:rowOff>175260</xdr:rowOff>
                  </from>
                  <to>
                    <xdr:col>6</xdr:col>
                    <xdr:colOff>274320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25" name="Check Box 37">
              <controlPr defaultSize="0" autoFill="0" autoLine="0" autoPict="0">
                <anchor moveWithCells="1">
                  <from>
                    <xdr:col>9</xdr:col>
                    <xdr:colOff>160020</xdr:colOff>
                    <xdr:row>31</xdr:row>
                    <xdr:rowOff>175260</xdr:rowOff>
                  </from>
                  <to>
                    <xdr:col>10</xdr:col>
                    <xdr:colOff>121920</xdr:colOff>
                    <xdr:row>33</xdr:row>
                    <xdr:rowOff>15240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2EFBB0-D042-4E5A-A3C5-2141C640540F}">
          <x14:formula1>
            <xm:f>Códigos!$A$2:$A$858</xm:f>
          </x14:formula1>
          <xm:sqref>E7</xm:sqref>
        </x14:dataValidation>
        <x14:dataValidation type="list" allowBlank="1" showInputMessage="1" showErrorMessage="1" xr:uid="{DC880BCD-591F-4C94-B8A3-8182E7FA9C52}">
          <x14:formula1>
            <xm:f>LISTAS!$A$4:$A$42</xm:f>
          </x14:formula1>
          <xm:sqref>C10 C32:K33</xm:sqref>
        </x14:dataValidation>
        <x14:dataValidation type="list" allowBlank="1" showInputMessage="1" showErrorMessage="1" xr:uid="{5C22D0F7-5F20-42DA-9737-89066B22C04D}">
          <x14:formula1>
            <xm:f>Códigos!$C$2:$C$858</xm:f>
          </x14:formula1>
          <xm:sqref>P6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4250-326D-4C57-810D-77D0951922EE}">
  <sheetPr codeName="Hoja2"/>
  <dimension ref="A1:H3003"/>
  <sheetViews>
    <sheetView zoomScaleNormal="100" workbookViewId="0">
      <pane ySplit="2" topLeftCell="A3" activePane="bottomLeft" state="frozen"/>
      <selection pane="bottomLeft" activeCell="A2" sqref="A2"/>
    </sheetView>
  </sheetViews>
  <sheetFormatPr baseColWidth="10" defaultRowHeight="15" x14ac:dyDescent="0.25"/>
  <cols>
    <col min="1" max="1" width="11.5546875" style="81"/>
    <col min="2" max="2" width="13.6640625" style="81" customWidth="1"/>
    <col min="3" max="3" width="13.33203125" style="81" customWidth="1"/>
    <col min="4" max="4" width="55.77734375" style="81" customWidth="1"/>
    <col min="5" max="7" width="19.33203125" style="81" customWidth="1"/>
    <col min="8" max="8" width="40" style="81" customWidth="1"/>
    <col min="9" max="16384" width="11.5546875" style="81"/>
  </cols>
  <sheetData>
    <row r="1" spans="1:8" s="82" customFormat="1" ht="40.200000000000003" customHeight="1" x14ac:dyDescent="0.3">
      <c r="A1" s="121" t="s">
        <v>1957</v>
      </c>
      <c r="B1" s="122"/>
      <c r="C1" s="122"/>
      <c r="D1" s="122"/>
      <c r="E1" s="122"/>
      <c r="F1" s="122"/>
      <c r="G1" s="122"/>
      <c r="H1" s="123"/>
    </row>
    <row r="2" spans="1:8" s="82" customFormat="1" ht="40.200000000000003" customHeight="1" x14ac:dyDescent="0.3">
      <c r="A2" s="87" t="s">
        <v>1997</v>
      </c>
      <c r="B2" s="87" t="s">
        <v>168</v>
      </c>
      <c r="C2" s="87" t="s">
        <v>131</v>
      </c>
      <c r="D2" s="87" t="s">
        <v>1958</v>
      </c>
      <c r="E2" s="88" t="s">
        <v>1959</v>
      </c>
      <c r="F2" s="88" t="s">
        <v>1996</v>
      </c>
      <c r="G2" s="87" t="s">
        <v>1960</v>
      </c>
      <c r="H2" s="87" t="s">
        <v>1255</v>
      </c>
    </row>
    <row r="3" spans="1:8" x14ac:dyDescent="0.25">
      <c r="A3" s="89">
        <v>1</v>
      </c>
      <c r="B3" s="191">
        <v>45292</v>
      </c>
      <c r="D3" s="81" t="s">
        <v>2023</v>
      </c>
      <c r="E3" s="94">
        <v>0</v>
      </c>
      <c r="F3" s="94">
        <v>0</v>
      </c>
      <c r="G3" s="94">
        <v>0</v>
      </c>
    </row>
    <row r="4" spans="1:8" x14ac:dyDescent="0.25">
      <c r="A4" s="89"/>
      <c r="B4" s="191"/>
      <c r="E4" s="94"/>
      <c r="F4" s="94"/>
      <c r="G4" s="94"/>
    </row>
    <row r="5" spans="1:8" x14ac:dyDescent="0.25">
      <c r="A5" s="89"/>
      <c r="B5" s="191"/>
      <c r="E5" s="94"/>
      <c r="F5" s="94"/>
      <c r="G5" s="94"/>
    </row>
    <row r="6" spans="1:8" x14ac:dyDescent="0.25">
      <c r="A6" s="89"/>
      <c r="B6" s="191"/>
      <c r="E6" s="94"/>
      <c r="F6" s="94"/>
      <c r="G6" s="94"/>
    </row>
    <row r="7" spans="1:8" x14ac:dyDescent="0.25">
      <c r="A7" s="89"/>
      <c r="B7" s="191"/>
      <c r="E7" s="94"/>
      <c r="F7" s="94"/>
      <c r="G7" s="94"/>
    </row>
    <row r="8" spans="1:8" x14ac:dyDescent="0.25">
      <c r="A8" s="89"/>
      <c r="B8" s="191"/>
      <c r="E8" s="94"/>
      <c r="F8" s="94"/>
      <c r="G8" s="94"/>
    </row>
    <row r="9" spans="1:8" x14ac:dyDescent="0.25">
      <c r="A9" s="89"/>
      <c r="B9" s="191"/>
      <c r="E9" s="94"/>
      <c r="F9" s="94"/>
      <c r="G9" s="94"/>
    </row>
    <row r="10" spans="1:8" x14ac:dyDescent="0.25">
      <c r="A10" s="89"/>
      <c r="B10" s="191"/>
      <c r="E10" s="94"/>
      <c r="F10" s="94"/>
      <c r="G10" s="94"/>
    </row>
    <row r="11" spans="1:8" x14ac:dyDescent="0.25">
      <c r="A11" s="89"/>
      <c r="B11" s="191"/>
      <c r="E11" s="94"/>
      <c r="F11" s="94"/>
      <c r="G11" s="94"/>
    </row>
    <row r="12" spans="1:8" x14ac:dyDescent="0.25">
      <c r="A12" s="89"/>
      <c r="B12" s="191"/>
      <c r="E12" s="94"/>
      <c r="F12" s="94"/>
      <c r="G12" s="94"/>
    </row>
    <row r="13" spans="1:8" x14ac:dyDescent="0.25">
      <c r="A13" s="89"/>
      <c r="B13" s="191"/>
      <c r="E13" s="94"/>
      <c r="F13" s="94"/>
      <c r="G13" s="94"/>
    </row>
    <row r="14" spans="1:8" x14ac:dyDescent="0.25">
      <c r="A14" s="89"/>
      <c r="B14" s="191"/>
      <c r="E14" s="94"/>
      <c r="F14" s="94"/>
      <c r="G14" s="94"/>
    </row>
    <row r="15" spans="1:8" x14ac:dyDescent="0.25">
      <c r="A15" s="89"/>
      <c r="B15" s="191"/>
      <c r="E15" s="94"/>
      <c r="F15" s="94"/>
      <c r="G15" s="94"/>
    </row>
    <row r="16" spans="1:8" x14ac:dyDescent="0.25">
      <c r="A16" s="89"/>
      <c r="B16" s="191"/>
      <c r="E16" s="94"/>
      <c r="F16" s="94"/>
      <c r="G16" s="94"/>
    </row>
    <row r="17" spans="1:7" x14ac:dyDescent="0.25">
      <c r="A17" s="89"/>
      <c r="B17" s="191"/>
      <c r="E17" s="94"/>
      <c r="F17" s="94"/>
      <c r="G17" s="94"/>
    </row>
    <row r="18" spans="1:7" x14ac:dyDescent="0.25">
      <c r="A18" s="89"/>
      <c r="B18" s="191"/>
      <c r="E18" s="94"/>
      <c r="F18" s="94"/>
      <c r="G18" s="94"/>
    </row>
    <row r="19" spans="1:7" x14ac:dyDescent="0.25">
      <c r="A19" s="89"/>
      <c r="B19" s="191"/>
      <c r="E19" s="94"/>
      <c r="F19" s="94"/>
      <c r="G19" s="94"/>
    </row>
    <row r="20" spans="1:7" x14ac:dyDescent="0.25">
      <c r="A20" s="89"/>
      <c r="B20" s="191"/>
      <c r="E20" s="94"/>
      <c r="F20" s="94"/>
      <c r="G20" s="94"/>
    </row>
    <row r="21" spans="1:7" x14ac:dyDescent="0.25">
      <c r="A21" s="89"/>
      <c r="B21" s="191"/>
      <c r="E21" s="94"/>
      <c r="F21" s="94"/>
      <c r="G21" s="94"/>
    </row>
    <row r="22" spans="1:7" x14ac:dyDescent="0.25">
      <c r="A22" s="89"/>
      <c r="B22" s="191"/>
      <c r="E22" s="94"/>
      <c r="F22" s="94"/>
      <c r="G22" s="94"/>
    </row>
    <row r="23" spans="1:7" x14ac:dyDescent="0.25">
      <c r="A23" s="89"/>
      <c r="B23" s="191"/>
      <c r="E23" s="94"/>
      <c r="F23" s="94"/>
      <c r="G23" s="94"/>
    </row>
    <row r="24" spans="1:7" x14ac:dyDescent="0.25">
      <c r="A24" s="89"/>
      <c r="B24" s="191"/>
      <c r="E24" s="94"/>
      <c r="F24" s="94"/>
      <c r="G24" s="94"/>
    </row>
    <row r="25" spans="1:7" x14ac:dyDescent="0.25">
      <c r="A25" s="89"/>
      <c r="B25" s="191"/>
      <c r="E25" s="94"/>
      <c r="F25" s="94"/>
      <c r="G25" s="94"/>
    </row>
    <row r="26" spans="1:7" x14ac:dyDescent="0.25">
      <c r="A26" s="89"/>
      <c r="B26" s="191"/>
      <c r="E26" s="94"/>
      <c r="F26" s="94"/>
      <c r="G26" s="94"/>
    </row>
    <row r="27" spans="1:7" x14ac:dyDescent="0.25">
      <c r="A27" s="89"/>
      <c r="B27" s="191"/>
      <c r="E27" s="94"/>
      <c r="F27" s="94"/>
      <c r="G27" s="94"/>
    </row>
    <row r="28" spans="1:7" x14ac:dyDescent="0.25">
      <c r="A28" s="89"/>
      <c r="B28" s="191"/>
      <c r="E28" s="94"/>
      <c r="F28" s="94"/>
      <c r="G28" s="94"/>
    </row>
    <row r="29" spans="1:7" x14ac:dyDescent="0.25">
      <c r="A29" s="89"/>
      <c r="B29" s="191"/>
      <c r="E29" s="94"/>
      <c r="F29" s="94"/>
      <c r="G29" s="94"/>
    </row>
    <row r="30" spans="1:7" x14ac:dyDescent="0.25">
      <c r="A30" s="89"/>
      <c r="B30" s="191"/>
      <c r="E30" s="94"/>
      <c r="F30" s="94"/>
      <c r="G30" s="94"/>
    </row>
    <row r="31" spans="1:7" x14ac:dyDescent="0.25">
      <c r="A31" s="89"/>
      <c r="B31" s="191"/>
      <c r="E31" s="94"/>
      <c r="F31" s="94"/>
      <c r="G31" s="94"/>
    </row>
    <row r="32" spans="1:7" x14ac:dyDescent="0.25">
      <c r="A32" s="89"/>
      <c r="B32" s="191"/>
      <c r="E32" s="94"/>
      <c r="F32" s="94"/>
      <c r="G32" s="94"/>
    </row>
    <row r="33" spans="1:7" x14ac:dyDescent="0.25">
      <c r="A33" s="89"/>
      <c r="B33" s="191"/>
      <c r="E33" s="94"/>
      <c r="F33" s="94"/>
      <c r="G33" s="94"/>
    </row>
    <row r="34" spans="1:7" x14ac:dyDescent="0.25">
      <c r="A34" s="89"/>
      <c r="B34" s="191"/>
      <c r="E34" s="94"/>
      <c r="F34" s="94"/>
      <c r="G34" s="94"/>
    </row>
    <row r="35" spans="1:7" x14ac:dyDescent="0.25">
      <c r="A35" s="89"/>
      <c r="B35" s="191"/>
      <c r="E35" s="94"/>
      <c r="F35" s="94"/>
      <c r="G35" s="94"/>
    </row>
    <row r="36" spans="1:7" x14ac:dyDescent="0.25">
      <c r="A36" s="89"/>
      <c r="B36" s="191"/>
      <c r="E36" s="94"/>
      <c r="F36" s="94"/>
      <c r="G36" s="94"/>
    </row>
    <row r="37" spans="1:7" x14ac:dyDescent="0.25">
      <c r="A37" s="89"/>
      <c r="B37" s="191"/>
      <c r="E37" s="94"/>
      <c r="F37" s="94"/>
      <c r="G37" s="94"/>
    </row>
    <row r="38" spans="1:7" x14ac:dyDescent="0.25">
      <c r="A38" s="89"/>
      <c r="B38" s="191"/>
      <c r="E38" s="94"/>
      <c r="F38" s="94"/>
      <c r="G38" s="94"/>
    </row>
    <row r="39" spans="1:7" x14ac:dyDescent="0.25">
      <c r="A39" s="89"/>
      <c r="B39" s="191"/>
      <c r="E39" s="94"/>
      <c r="F39" s="94"/>
      <c r="G39" s="94"/>
    </row>
    <row r="40" spans="1:7" x14ac:dyDescent="0.25">
      <c r="A40" s="89"/>
      <c r="B40" s="191"/>
      <c r="E40" s="94"/>
      <c r="F40" s="94"/>
      <c r="G40" s="94"/>
    </row>
    <row r="41" spans="1:7" x14ac:dyDescent="0.25">
      <c r="A41" s="89"/>
      <c r="B41" s="191"/>
      <c r="E41" s="94"/>
      <c r="F41" s="94"/>
      <c r="G41" s="94"/>
    </row>
    <row r="42" spans="1:7" x14ac:dyDescent="0.25">
      <c r="A42" s="89"/>
      <c r="B42" s="191"/>
      <c r="E42" s="94"/>
      <c r="F42" s="94"/>
      <c r="G42" s="94"/>
    </row>
    <row r="43" spans="1:7" x14ac:dyDescent="0.25">
      <c r="A43" s="89"/>
      <c r="B43" s="191"/>
      <c r="E43" s="94"/>
      <c r="F43" s="94"/>
      <c r="G43" s="94"/>
    </row>
    <row r="44" spans="1:7" x14ac:dyDescent="0.25">
      <c r="A44" s="89"/>
      <c r="B44" s="191"/>
      <c r="E44" s="94"/>
      <c r="F44" s="94"/>
      <c r="G44" s="94"/>
    </row>
    <row r="45" spans="1:7" x14ac:dyDescent="0.25">
      <c r="A45" s="89"/>
      <c r="B45" s="191"/>
      <c r="E45" s="94"/>
      <c r="F45" s="94"/>
      <c r="G45" s="94"/>
    </row>
    <row r="46" spans="1:7" x14ac:dyDescent="0.25">
      <c r="A46" s="89"/>
      <c r="B46" s="191"/>
      <c r="E46" s="94"/>
      <c r="F46" s="94"/>
      <c r="G46" s="94"/>
    </row>
    <row r="47" spans="1:7" x14ac:dyDescent="0.25">
      <c r="A47" s="89"/>
      <c r="B47" s="191"/>
      <c r="E47" s="94"/>
      <c r="F47" s="94"/>
      <c r="G47" s="94"/>
    </row>
    <row r="48" spans="1:7" x14ac:dyDescent="0.25">
      <c r="A48" s="89"/>
      <c r="B48" s="191"/>
      <c r="E48" s="94"/>
      <c r="F48" s="94"/>
      <c r="G48" s="94"/>
    </row>
    <row r="49" spans="1:7" x14ac:dyDescent="0.25">
      <c r="A49" s="89"/>
      <c r="B49" s="191"/>
      <c r="E49" s="94"/>
      <c r="F49" s="94"/>
      <c r="G49" s="94"/>
    </row>
    <row r="50" spans="1:7" x14ac:dyDescent="0.25">
      <c r="A50" s="89"/>
      <c r="B50" s="191"/>
      <c r="E50" s="94"/>
      <c r="F50" s="94"/>
      <c r="G50" s="94"/>
    </row>
    <row r="51" spans="1:7" x14ac:dyDescent="0.25">
      <c r="A51" s="89"/>
      <c r="B51" s="191"/>
      <c r="E51" s="94"/>
      <c r="F51" s="94"/>
      <c r="G51" s="94"/>
    </row>
    <row r="52" spans="1:7" x14ac:dyDescent="0.25">
      <c r="A52" s="89"/>
      <c r="B52" s="191"/>
      <c r="E52" s="94"/>
      <c r="F52" s="94"/>
      <c r="G52" s="94"/>
    </row>
    <row r="53" spans="1:7" x14ac:dyDescent="0.25">
      <c r="A53" s="89"/>
      <c r="B53" s="191"/>
      <c r="E53" s="94"/>
      <c r="F53" s="94"/>
      <c r="G53" s="94"/>
    </row>
    <row r="54" spans="1:7" x14ac:dyDescent="0.25">
      <c r="A54" s="89"/>
      <c r="B54" s="191"/>
      <c r="E54" s="94"/>
      <c r="F54" s="94"/>
      <c r="G54" s="94"/>
    </row>
    <row r="55" spans="1:7" x14ac:dyDescent="0.25">
      <c r="A55" s="89"/>
      <c r="B55" s="191"/>
      <c r="E55" s="94"/>
      <c r="F55" s="94"/>
      <c r="G55" s="94"/>
    </row>
    <row r="56" spans="1:7" x14ac:dyDescent="0.25">
      <c r="A56" s="89"/>
      <c r="B56" s="191"/>
      <c r="E56" s="94"/>
      <c r="F56" s="94"/>
      <c r="G56" s="94"/>
    </row>
    <row r="57" spans="1:7" x14ac:dyDescent="0.25">
      <c r="A57" s="89"/>
      <c r="B57" s="191"/>
      <c r="E57" s="94"/>
      <c r="F57" s="94"/>
      <c r="G57" s="94"/>
    </row>
    <row r="58" spans="1:7" x14ac:dyDescent="0.25">
      <c r="A58" s="89"/>
      <c r="B58" s="191"/>
      <c r="E58" s="94"/>
      <c r="F58" s="94"/>
      <c r="G58" s="94"/>
    </row>
    <row r="59" spans="1:7" x14ac:dyDescent="0.25">
      <c r="A59" s="89"/>
      <c r="B59" s="191"/>
      <c r="E59" s="94"/>
      <c r="F59" s="94"/>
      <c r="G59" s="94"/>
    </row>
    <row r="60" spans="1:7" x14ac:dyDescent="0.25">
      <c r="A60" s="89"/>
      <c r="B60" s="191"/>
      <c r="E60" s="94"/>
      <c r="F60" s="94"/>
      <c r="G60" s="94"/>
    </row>
    <row r="61" spans="1:7" x14ac:dyDescent="0.25">
      <c r="A61" s="89"/>
      <c r="B61" s="191"/>
      <c r="E61" s="94"/>
      <c r="F61" s="94"/>
      <c r="G61" s="94"/>
    </row>
    <row r="62" spans="1:7" x14ac:dyDescent="0.25">
      <c r="A62" s="89"/>
      <c r="B62" s="191"/>
      <c r="E62" s="94"/>
      <c r="F62" s="94"/>
      <c r="G62" s="94"/>
    </row>
    <row r="63" spans="1:7" x14ac:dyDescent="0.25">
      <c r="A63" s="89"/>
      <c r="B63" s="191"/>
      <c r="E63" s="94"/>
      <c r="F63" s="94"/>
      <c r="G63" s="94"/>
    </row>
    <row r="64" spans="1:7" x14ac:dyDescent="0.25">
      <c r="A64" s="89"/>
      <c r="B64" s="191"/>
      <c r="E64" s="94"/>
      <c r="F64" s="94"/>
      <c r="G64" s="94"/>
    </row>
    <row r="65" spans="1:7" x14ac:dyDescent="0.25">
      <c r="A65" s="89"/>
      <c r="B65" s="191"/>
      <c r="E65" s="94"/>
      <c r="F65" s="94"/>
      <c r="G65" s="94"/>
    </row>
    <row r="66" spans="1:7" x14ac:dyDescent="0.25">
      <c r="A66" s="89"/>
      <c r="B66" s="191"/>
      <c r="E66" s="94"/>
      <c r="F66" s="94"/>
      <c r="G66" s="94"/>
    </row>
    <row r="67" spans="1:7" x14ac:dyDescent="0.25">
      <c r="A67" s="89"/>
      <c r="B67" s="191"/>
      <c r="E67" s="94"/>
      <c r="F67" s="94"/>
      <c r="G67" s="94"/>
    </row>
    <row r="68" spans="1:7" x14ac:dyDescent="0.25">
      <c r="A68" s="89"/>
      <c r="B68" s="191"/>
      <c r="E68" s="94"/>
      <c r="F68" s="94"/>
      <c r="G68" s="94"/>
    </row>
    <row r="69" spans="1:7" x14ac:dyDescent="0.25">
      <c r="A69" s="89"/>
      <c r="B69" s="191"/>
      <c r="E69" s="94"/>
      <c r="F69" s="94"/>
      <c r="G69" s="94"/>
    </row>
    <row r="70" spans="1:7" x14ac:dyDescent="0.25">
      <c r="A70" s="89"/>
      <c r="B70" s="191"/>
      <c r="E70" s="94"/>
      <c r="F70" s="94"/>
      <c r="G70" s="94"/>
    </row>
    <row r="71" spans="1:7" x14ac:dyDescent="0.25">
      <c r="A71" s="89"/>
      <c r="B71" s="191"/>
      <c r="E71" s="94"/>
      <c r="F71" s="94"/>
      <c r="G71" s="94"/>
    </row>
    <row r="72" spans="1:7" x14ac:dyDescent="0.25">
      <c r="A72" s="89"/>
      <c r="B72" s="191"/>
      <c r="E72" s="94"/>
      <c r="F72" s="94"/>
      <c r="G72" s="94"/>
    </row>
    <row r="73" spans="1:7" x14ac:dyDescent="0.25">
      <c r="A73" s="89"/>
      <c r="B73" s="191"/>
      <c r="E73" s="94"/>
      <c r="F73" s="94"/>
      <c r="G73" s="94"/>
    </row>
    <row r="74" spans="1:7" x14ac:dyDescent="0.25">
      <c r="A74" s="89"/>
      <c r="B74" s="191"/>
      <c r="E74" s="94"/>
      <c r="F74" s="94"/>
      <c r="G74" s="94"/>
    </row>
    <row r="75" spans="1:7" x14ac:dyDescent="0.25">
      <c r="A75" s="89"/>
      <c r="B75" s="191"/>
      <c r="E75" s="94"/>
      <c r="F75" s="94"/>
      <c r="G75" s="94"/>
    </row>
    <row r="76" spans="1:7" x14ac:dyDescent="0.25">
      <c r="A76" s="89"/>
      <c r="B76" s="191"/>
      <c r="E76" s="94"/>
      <c r="F76" s="94"/>
      <c r="G76" s="94"/>
    </row>
    <row r="77" spans="1:7" x14ac:dyDescent="0.25">
      <c r="A77" s="89"/>
      <c r="B77" s="191"/>
      <c r="E77" s="94"/>
      <c r="F77" s="94"/>
      <c r="G77" s="94"/>
    </row>
    <row r="78" spans="1:7" x14ac:dyDescent="0.25">
      <c r="A78" s="89"/>
      <c r="B78" s="191"/>
      <c r="E78" s="94"/>
      <c r="F78" s="94"/>
      <c r="G78" s="94"/>
    </row>
    <row r="79" spans="1:7" x14ac:dyDescent="0.25">
      <c r="A79" s="89"/>
      <c r="B79" s="191"/>
      <c r="E79" s="94"/>
      <c r="F79" s="94"/>
      <c r="G79" s="94"/>
    </row>
    <row r="80" spans="1:7" x14ac:dyDescent="0.25">
      <c r="A80" s="89"/>
      <c r="B80" s="191"/>
      <c r="E80" s="94"/>
      <c r="F80" s="94"/>
      <c r="G80" s="94"/>
    </row>
    <row r="81" spans="1:7" x14ac:dyDescent="0.25">
      <c r="A81" s="89"/>
      <c r="B81" s="191"/>
      <c r="E81" s="94"/>
      <c r="F81" s="94"/>
      <c r="G81" s="94"/>
    </row>
    <row r="82" spans="1:7" x14ac:dyDescent="0.25">
      <c r="A82" s="89"/>
      <c r="B82" s="191"/>
      <c r="E82" s="94"/>
      <c r="F82" s="94"/>
      <c r="G82" s="94"/>
    </row>
    <row r="83" spans="1:7" x14ac:dyDescent="0.25">
      <c r="A83" s="89"/>
      <c r="B83" s="191"/>
      <c r="E83" s="94"/>
      <c r="F83" s="94"/>
      <c r="G83" s="94"/>
    </row>
    <row r="84" spans="1:7" x14ac:dyDescent="0.25">
      <c r="A84" s="89"/>
      <c r="B84" s="191"/>
      <c r="E84" s="94"/>
      <c r="F84" s="94"/>
      <c r="G84" s="94"/>
    </row>
    <row r="85" spans="1:7" x14ac:dyDescent="0.25">
      <c r="A85" s="89"/>
      <c r="B85" s="191"/>
      <c r="E85" s="94"/>
      <c r="F85" s="94"/>
      <c r="G85" s="94"/>
    </row>
    <row r="86" spans="1:7" x14ac:dyDescent="0.25">
      <c r="A86" s="89"/>
      <c r="B86" s="191"/>
      <c r="E86" s="94"/>
      <c r="F86" s="94"/>
      <c r="G86" s="94"/>
    </row>
    <row r="87" spans="1:7" x14ac:dyDescent="0.25">
      <c r="A87" s="89"/>
      <c r="B87" s="191"/>
      <c r="E87" s="94"/>
      <c r="F87" s="94"/>
      <c r="G87" s="94"/>
    </row>
    <row r="88" spans="1:7" x14ac:dyDescent="0.25">
      <c r="A88" s="89"/>
      <c r="B88" s="191"/>
      <c r="E88" s="94"/>
      <c r="F88" s="94"/>
      <c r="G88" s="94"/>
    </row>
    <row r="89" spans="1:7" x14ac:dyDescent="0.25">
      <c r="A89" s="89"/>
      <c r="B89" s="191"/>
      <c r="E89" s="94"/>
      <c r="F89" s="94"/>
      <c r="G89" s="94"/>
    </row>
    <row r="90" spans="1:7" x14ac:dyDescent="0.25">
      <c r="A90" s="89"/>
      <c r="B90" s="191"/>
      <c r="E90" s="94"/>
      <c r="F90" s="94"/>
      <c r="G90" s="94"/>
    </row>
    <row r="91" spans="1:7" x14ac:dyDescent="0.25">
      <c r="A91" s="89"/>
      <c r="B91" s="191"/>
      <c r="E91" s="94"/>
      <c r="F91" s="94"/>
      <c r="G91" s="94"/>
    </row>
    <row r="92" spans="1:7" x14ac:dyDescent="0.25">
      <c r="A92" s="89"/>
      <c r="B92" s="191"/>
      <c r="E92" s="94"/>
      <c r="F92" s="94"/>
      <c r="G92" s="94"/>
    </row>
    <row r="93" spans="1:7" x14ac:dyDescent="0.25">
      <c r="A93" s="89"/>
      <c r="B93" s="191"/>
      <c r="E93" s="94"/>
      <c r="F93" s="94"/>
      <c r="G93" s="94"/>
    </row>
    <row r="94" spans="1:7" x14ac:dyDescent="0.25">
      <c r="A94" s="89"/>
      <c r="B94" s="191"/>
      <c r="E94" s="94"/>
      <c r="F94" s="94"/>
      <c r="G94" s="94"/>
    </row>
    <row r="95" spans="1:7" x14ac:dyDescent="0.25">
      <c r="A95" s="89"/>
      <c r="B95" s="191"/>
      <c r="E95" s="94"/>
      <c r="F95" s="94"/>
      <c r="G95" s="94"/>
    </row>
    <row r="96" spans="1:7" x14ac:dyDescent="0.25">
      <c r="A96" s="89"/>
      <c r="B96" s="191"/>
      <c r="E96" s="94"/>
      <c r="F96" s="94"/>
      <c r="G96" s="94"/>
    </row>
    <row r="97" spans="1:7" x14ac:dyDescent="0.25">
      <c r="A97" s="89"/>
      <c r="B97" s="191"/>
      <c r="E97" s="94"/>
      <c r="F97" s="94"/>
      <c r="G97" s="94"/>
    </row>
    <row r="98" spans="1:7" x14ac:dyDescent="0.25">
      <c r="A98" s="89"/>
      <c r="B98" s="191"/>
      <c r="E98" s="94"/>
      <c r="F98" s="94"/>
      <c r="G98" s="94"/>
    </row>
    <row r="99" spans="1:7" x14ac:dyDescent="0.25">
      <c r="A99" s="89"/>
      <c r="B99" s="191"/>
      <c r="E99" s="94"/>
      <c r="F99" s="94"/>
      <c r="G99" s="94"/>
    </row>
    <row r="100" spans="1:7" x14ac:dyDescent="0.25">
      <c r="A100" s="89"/>
      <c r="B100" s="191"/>
      <c r="E100" s="94"/>
      <c r="F100" s="94"/>
      <c r="G100" s="94"/>
    </row>
    <row r="101" spans="1:7" x14ac:dyDescent="0.25">
      <c r="A101" s="89"/>
      <c r="B101" s="191"/>
      <c r="E101" s="94"/>
      <c r="F101" s="94"/>
      <c r="G101" s="94"/>
    </row>
    <row r="102" spans="1:7" x14ac:dyDescent="0.25">
      <c r="A102" s="89"/>
      <c r="B102" s="191"/>
      <c r="E102" s="94"/>
      <c r="F102" s="94"/>
      <c r="G102" s="94"/>
    </row>
    <row r="103" spans="1:7" x14ac:dyDescent="0.25">
      <c r="A103" s="89"/>
      <c r="B103" s="191"/>
      <c r="E103" s="94"/>
      <c r="F103" s="94"/>
      <c r="G103" s="94"/>
    </row>
    <row r="104" spans="1:7" x14ac:dyDescent="0.25">
      <c r="A104" s="89"/>
      <c r="B104" s="191"/>
      <c r="E104" s="94"/>
      <c r="F104" s="94"/>
      <c r="G104" s="94"/>
    </row>
    <row r="105" spans="1:7" x14ac:dyDescent="0.25">
      <c r="A105" s="89"/>
      <c r="B105" s="191"/>
      <c r="E105" s="94"/>
      <c r="F105" s="94"/>
      <c r="G105" s="94"/>
    </row>
    <row r="106" spans="1:7" x14ac:dyDescent="0.25">
      <c r="A106" s="89"/>
      <c r="B106" s="191"/>
      <c r="E106" s="94"/>
      <c r="F106" s="94"/>
      <c r="G106" s="94"/>
    </row>
    <row r="107" spans="1:7" x14ac:dyDescent="0.25">
      <c r="A107" s="89"/>
      <c r="B107" s="191"/>
      <c r="E107" s="94"/>
      <c r="F107" s="94"/>
      <c r="G107" s="94"/>
    </row>
    <row r="108" spans="1:7" x14ac:dyDescent="0.25">
      <c r="A108" s="89"/>
      <c r="B108" s="191"/>
      <c r="E108" s="94"/>
      <c r="F108" s="94"/>
      <c r="G108" s="94"/>
    </row>
    <row r="109" spans="1:7" x14ac:dyDescent="0.25">
      <c r="A109" s="89"/>
      <c r="B109" s="191"/>
      <c r="E109" s="94"/>
      <c r="F109" s="94"/>
      <c r="G109" s="94"/>
    </row>
    <row r="110" spans="1:7" x14ac:dyDescent="0.25">
      <c r="A110" s="89"/>
      <c r="B110" s="191"/>
      <c r="E110" s="94"/>
      <c r="F110" s="94"/>
      <c r="G110" s="94"/>
    </row>
    <row r="111" spans="1:7" x14ac:dyDescent="0.25">
      <c r="A111" s="89"/>
      <c r="B111" s="191"/>
      <c r="E111" s="94"/>
      <c r="F111" s="94"/>
      <c r="G111" s="94"/>
    </row>
    <row r="112" spans="1:7" x14ac:dyDescent="0.25">
      <c r="A112" s="89"/>
      <c r="B112" s="191"/>
      <c r="E112" s="94"/>
      <c r="F112" s="94"/>
      <c r="G112" s="94"/>
    </row>
    <row r="113" spans="1:7" x14ac:dyDescent="0.25">
      <c r="A113" s="89"/>
      <c r="B113" s="191"/>
      <c r="E113" s="94"/>
      <c r="F113" s="94"/>
      <c r="G113" s="94"/>
    </row>
    <row r="114" spans="1:7" x14ac:dyDescent="0.25">
      <c r="A114" s="89"/>
      <c r="B114" s="191"/>
      <c r="E114" s="94"/>
      <c r="F114" s="94"/>
      <c r="G114" s="94"/>
    </row>
    <row r="115" spans="1:7" x14ac:dyDescent="0.25">
      <c r="A115" s="89"/>
      <c r="B115" s="191"/>
      <c r="E115" s="94"/>
      <c r="F115" s="94"/>
      <c r="G115" s="94"/>
    </row>
    <row r="116" spans="1:7" x14ac:dyDescent="0.25">
      <c r="A116" s="89"/>
      <c r="B116" s="191"/>
      <c r="E116" s="94"/>
      <c r="F116" s="94"/>
      <c r="G116" s="94"/>
    </row>
    <row r="117" spans="1:7" x14ac:dyDescent="0.25">
      <c r="A117" s="89"/>
      <c r="B117" s="191"/>
      <c r="E117" s="94"/>
      <c r="F117" s="94"/>
      <c r="G117" s="94"/>
    </row>
    <row r="118" spans="1:7" x14ac:dyDescent="0.25">
      <c r="A118" s="89"/>
      <c r="B118" s="191"/>
      <c r="E118" s="94"/>
      <c r="F118" s="94"/>
      <c r="G118" s="94"/>
    </row>
    <row r="119" spans="1:7" x14ac:dyDescent="0.25">
      <c r="A119" s="89"/>
      <c r="B119" s="191"/>
      <c r="E119" s="94"/>
      <c r="F119" s="94"/>
      <c r="G119" s="94"/>
    </row>
    <row r="120" spans="1:7" x14ac:dyDescent="0.25">
      <c r="A120" s="89"/>
      <c r="B120" s="191"/>
      <c r="E120" s="94"/>
      <c r="F120" s="94"/>
      <c r="G120" s="94"/>
    </row>
    <row r="121" spans="1:7" x14ac:dyDescent="0.25">
      <c r="A121" s="89"/>
      <c r="B121" s="191"/>
      <c r="E121" s="94"/>
      <c r="F121" s="94"/>
      <c r="G121" s="94"/>
    </row>
    <row r="122" spans="1:7" x14ac:dyDescent="0.25">
      <c r="A122" s="89"/>
      <c r="B122" s="191"/>
      <c r="E122" s="94"/>
      <c r="F122" s="94"/>
      <c r="G122" s="94"/>
    </row>
    <row r="123" spans="1:7" x14ac:dyDescent="0.25">
      <c r="A123" s="89"/>
      <c r="B123" s="191"/>
      <c r="E123" s="94"/>
      <c r="F123" s="94"/>
      <c r="G123" s="94"/>
    </row>
    <row r="124" spans="1:7" x14ac:dyDescent="0.25">
      <c r="A124" s="89"/>
      <c r="B124" s="191"/>
      <c r="E124" s="94"/>
      <c r="F124" s="94"/>
      <c r="G124" s="94"/>
    </row>
    <row r="125" spans="1:7" x14ac:dyDescent="0.25">
      <c r="A125" s="89"/>
      <c r="B125" s="191"/>
      <c r="E125" s="94"/>
      <c r="F125" s="94"/>
      <c r="G125" s="94"/>
    </row>
    <row r="126" spans="1:7" x14ac:dyDescent="0.25">
      <c r="A126" s="89"/>
      <c r="B126" s="191"/>
      <c r="E126" s="94"/>
      <c r="F126" s="94"/>
      <c r="G126" s="94"/>
    </row>
    <row r="127" spans="1:7" x14ac:dyDescent="0.25">
      <c r="A127" s="89"/>
      <c r="B127" s="191"/>
      <c r="E127" s="94"/>
      <c r="F127" s="94"/>
      <c r="G127" s="94"/>
    </row>
    <row r="128" spans="1:7" x14ac:dyDescent="0.25">
      <c r="A128" s="89"/>
      <c r="B128" s="191"/>
      <c r="E128" s="94"/>
      <c r="F128" s="94"/>
      <c r="G128" s="94"/>
    </row>
    <row r="129" spans="1:7" x14ac:dyDescent="0.25">
      <c r="A129" s="89"/>
      <c r="B129" s="191"/>
      <c r="E129" s="94"/>
      <c r="F129" s="94"/>
      <c r="G129" s="94"/>
    </row>
    <row r="130" spans="1:7" x14ac:dyDescent="0.25">
      <c r="A130" s="89"/>
      <c r="B130" s="191"/>
      <c r="E130" s="94"/>
      <c r="F130" s="94"/>
      <c r="G130" s="94"/>
    </row>
    <row r="131" spans="1:7" x14ac:dyDescent="0.25">
      <c r="A131" s="89"/>
      <c r="B131" s="191"/>
      <c r="E131" s="94"/>
      <c r="F131" s="94"/>
      <c r="G131" s="94"/>
    </row>
    <row r="132" spans="1:7" x14ac:dyDescent="0.25">
      <c r="A132" s="89"/>
      <c r="B132" s="191"/>
      <c r="E132" s="94"/>
      <c r="F132" s="94"/>
      <c r="G132" s="94"/>
    </row>
    <row r="133" spans="1:7" x14ac:dyDescent="0.25">
      <c r="A133" s="89"/>
      <c r="B133" s="191"/>
      <c r="E133" s="94"/>
      <c r="F133" s="94"/>
      <c r="G133" s="94"/>
    </row>
    <row r="134" spans="1:7" x14ac:dyDescent="0.25">
      <c r="A134" s="89"/>
      <c r="B134" s="191"/>
      <c r="E134" s="94"/>
      <c r="F134" s="94"/>
      <c r="G134" s="94"/>
    </row>
    <row r="135" spans="1:7" x14ac:dyDescent="0.25">
      <c r="A135" s="89"/>
      <c r="B135" s="191"/>
      <c r="E135" s="94"/>
      <c r="F135" s="94"/>
      <c r="G135" s="94"/>
    </row>
    <row r="136" spans="1:7" x14ac:dyDescent="0.25">
      <c r="A136" s="89"/>
      <c r="B136" s="191"/>
      <c r="E136" s="94"/>
      <c r="F136" s="94"/>
      <c r="G136" s="94"/>
    </row>
    <row r="137" spans="1:7" x14ac:dyDescent="0.25">
      <c r="A137" s="89"/>
      <c r="B137" s="191"/>
      <c r="E137" s="94"/>
      <c r="F137" s="94"/>
      <c r="G137" s="94"/>
    </row>
    <row r="138" spans="1:7" x14ac:dyDescent="0.25">
      <c r="A138" s="89"/>
      <c r="B138" s="191"/>
      <c r="E138" s="94"/>
      <c r="F138" s="94"/>
      <c r="G138" s="94"/>
    </row>
    <row r="139" spans="1:7" x14ac:dyDescent="0.25">
      <c r="A139" s="89"/>
      <c r="B139" s="191"/>
      <c r="E139" s="94"/>
      <c r="F139" s="94"/>
      <c r="G139" s="94"/>
    </row>
    <row r="140" spans="1:7" x14ac:dyDescent="0.25">
      <c r="A140" s="89"/>
      <c r="B140" s="191"/>
      <c r="E140" s="94"/>
      <c r="F140" s="94"/>
      <c r="G140" s="94"/>
    </row>
    <row r="141" spans="1:7" x14ac:dyDescent="0.25">
      <c r="A141" s="89"/>
      <c r="B141" s="191"/>
      <c r="E141" s="94"/>
      <c r="F141" s="94"/>
      <c r="G141" s="94"/>
    </row>
    <row r="142" spans="1:7" x14ac:dyDescent="0.25">
      <c r="A142" s="89"/>
      <c r="B142" s="191"/>
      <c r="E142" s="94"/>
      <c r="F142" s="94"/>
      <c r="G142" s="94"/>
    </row>
    <row r="143" spans="1:7" x14ac:dyDescent="0.25">
      <c r="A143" s="89"/>
      <c r="B143" s="191"/>
      <c r="E143" s="94"/>
      <c r="F143" s="94"/>
      <c r="G143" s="94"/>
    </row>
    <row r="144" spans="1:7" x14ac:dyDescent="0.25">
      <c r="A144" s="89"/>
      <c r="B144" s="191"/>
      <c r="E144" s="94"/>
      <c r="F144" s="94"/>
      <c r="G144" s="94"/>
    </row>
    <row r="145" spans="1:7" x14ac:dyDescent="0.25">
      <c r="A145" s="89"/>
      <c r="B145" s="191"/>
      <c r="E145" s="94"/>
      <c r="F145" s="94"/>
      <c r="G145" s="94"/>
    </row>
    <row r="146" spans="1:7" x14ac:dyDescent="0.25">
      <c r="A146" s="89"/>
      <c r="B146" s="191"/>
      <c r="E146" s="94"/>
      <c r="F146" s="94"/>
      <c r="G146" s="94"/>
    </row>
    <row r="147" spans="1:7" x14ac:dyDescent="0.25">
      <c r="A147" s="89"/>
      <c r="B147" s="191"/>
      <c r="E147" s="94"/>
      <c r="F147" s="94"/>
      <c r="G147" s="94"/>
    </row>
    <row r="148" spans="1:7" x14ac:dyDescent="0.25">
      <c r="A148" s="89"/>
      <c r="B148" s="191"/>
      <c r="E148" s="94"/>
      <c r="F148" s="94"/>
      <c r="G148" s="94"/>
    </row>
    <row r="149" spans="1:7" x14ac:dyDescent="0.25">
      <c r="A149" s="89"/>
      <c r="B149" s="191"/>
      <c r="E149" s="94"/>
      <c r="F149" s="94"/>
      <c r="G149" s="94"/>
    </row>
    <row r="150" spans="1:7" x14ac:dyDescent="0.25">
      <c r="A150" s="89"/>
      <c r="B150" s="191"/>
      <c r="E150" s="94"/>
      <c r="F150" s="94"/>
      <c r="G150" s="94"/>
    </row>
    <row r="151" spans="1:7" x14ac:dyDescent="0.25">
      <c r="A151" s="89"/>
      <c r="B151" s="191"/>
      <c r="E151" s="94"/>
      <c r="F151" s="94"/>
      <c r="G151" s="94"/>
    </row>
    <row r="152" spans="1:7" x14ac:dyDescent="0.25">
      <c r="A152" s="89"/>
      <c r="B152" s="191"/>
      <c r="E152" s="94"/>
      <c r="F152" s="94"/>
      <c r="G152" s="94"/>
    </row>
    <row r="153" spans="1:7" x14ac:dyDescent="0.25">
      <c r="A153" s="89"/>
      <c r="B153" s="191"/>
      <c r="E153" s="94"/>
      <c r="F153" s="94"/>
      <c r="G153" s="94"/>
    </row>
    <row r="154" spans="1:7" x14ac:dyDescent="0.25">
      <c r="A154" s="89"/>
      <c r="B154" s="191"/>
      <c r="E154" s="94"/>
      <c r="F154" s="94"/>
      <c r="G154" s="94"/>
    </row>
    <row r="155" spans="1:7" x14ac:dyDescent="0.25">
      <c r="A155" s="89"/>
      <c r="B155" s="191"/>
      <c r="E155" s="94"/>
      <c r="F155" s="94"/>
      <c r="G155" s="94"/>
    </row>
    <row r="156" spans="1:7" x14ac:dyDescent="0.25">
      <c r="A156" s="89"/>
      <c r="B156" s="191"/>
      <c r="E156" s="94"/>
      <c r="F156" s="94"/>
      <c r="G156" s="94"/>
    </row>
    <row r="157" spans="1:7" x14ac:dyDescent="0.25">
      <c r="A157" s="89"/>
      <c r="B157" s="191"/>
      <c r="E157" s="94"/>
      <c r="F157" s="94"/>
      <c r="G157" s="94"/>
    </row>
    <row r="158" spans="1:7" x14ac:dyDescent="0.25">
      <c r="A158" s="89"/>
      <c r="B158" s="191"/>
      <c r="E158" s="94"/>
      <c r="F158" s="94"/>
      <c r="G158" s="94"/>
    </row>
    <row r="159" spans="1:7" x14ac:dyDescent="0.25">
      <c r="A159" s="89"/>
      <c r="B159" s="191"/>
      <c r="E159" s="94"/>
      <c r="F159" s="94"/>
      <c r="G159" s="94"/>
    </row>
    <row r="160" spans="1:7" x14ac:dyDescent="0.25">
      <c r="A160" s="89"/>
      <c r="B160" s="191"/>
      <c r="E160" s="94"/>
      <c r="F160" s="94"/>
      <c r="G160" s="94"/>
    </row>
    <row r="161" spans="1:7" x14ac:dyDescent="0.25">
      <c r="A161" s="89"/>
      <c r="B161" s="191"/>
      <c r="E161" s="94"/>
      <c r="F161" s="94"/>
      <c r="G161" s="94"/>
    </row>
    <row r="162" spans="1:7" x14ac:dyDescent="0.25">
      <c r="A162" s="89"/>
      <c r="B162" s="191"/>
      <c r="E162" s="94"/>
      <c r="F162" s="94"/>
      <c r="G162" s="94"/>
    </row>
    <row r="163" spans="1:7" x14ac:dyDescent="0.25">
      <c r="A163" s="89"/>
      <c r="B163" s="191"/>
      <c r="E163" s="94"/>
      <c r="F163" s="94"/>
      <c r="G163" s="94"/>
    </row>
    <row r="164" spans="1:7" x14ac:dyDescent="0.25">
      <c r="A164" s="89"/>
      <c r="B164" s="191"/>
      <c r="E164" s="94"/>
      <c r="F164" s="94"/>
      <c r="G164" s="94"/>
    </row>
    <row r="165" spans="1:7" x14ac:dyDescent="0.25">
      <c r="A165" s="89"/>
      <c r="B165" s="191"/>
      <c r="E165" s="94"/>
      <c r="F165" s="94"/>
      <c r="G165" s="94"/>
    </row>
    <row r="166" spans="1:7" x14ac:dyDescent="0.25">
      <c r="A166" s="89"/>
      <c r="B166" s="191"/>
      <c r="E166" s="94"/>
      <c r="F166" s="94"/>
      <c r="G166" s="94"/>
    </row>
    <row r="167" spans="1:7" x14ac:dyDescent="0.25">
      <c r="A167" s="89"/>
      <c r="B167" s="191"/>
      <c r="E167" s="94"/>
      <c r="F167" s="94"/>
      <c r="G167" s="94"/>
    </row>
    <row r="168" spans="1:7" x14ac:dyDescent="0.25">
      <c r="A168" s="89"/>
      <c r="B168" s="191"/>
      <c r="E168" s="94"/>
      <c r="F168" s="94"/>
      <c r="G168" s="94"/>
    </row>
    <row r="169" spans="1:7" x14ac:dyDescent="0.25">
      <c r="A169" s="89"/>
      <c r="B169" s="191"/>
      <c r="E169" s="94"/>
      <c r="F169" s="94"/>
      <c r="G169" s="94"/>
    </row>
    <row r="170" spans="1:7" x14ac:dyDescent="0.25">
      <c r="A170" s="89"/>
      <c r="B170" s="191"/>
      <c r="E170" s="94"/>
      <c r="F170" s="94"/>
      <c r="G170" s="94"/>
    </row>
    <row r="171" spans="1:7" x14ac:dyDescent="0.25">
      <c r="A171" s="89"/>
      <c r="B171" s="191"/>
      <c r="E171" s="94"/>
      <c r="F171" s="94"/>
      <c r="G171" s="94"/>
    </row>
    <row r="172" spans="1:7" x14ac:dyDescent="0.25">
      <c r="A172" s="89"/>
      <c r="B172" s="191"/>
      <c r="E172" s="94"/>
      <c r="F172" s="94"/>
      <c r="G172" s="94"/>
    </row>
    <row r="173" spans="1:7" x14ac:dyDescent="0.25">
      <c r="A173" s="89"/>
      <c r="B173" s="191"/>
      <c r="E173" s="94"/>
      <c r="F173" s="94"/>
      <c r="G173" s="94"/>
    </row>
    <row r="174" spans="1:7" x14ac:dyDescent="0.25">
      <c r="A174" s="89"/>
      <c r="B174" s="191"/>
      <c r="E174" s="94"/>
      <c r="F174" s="94"/>
      <c r="G174" s="94"/>
    </row>
    <row r="175" spans="1:7" x14ac:dyDescent="0.25">
      <c r="A175" s="89"/>
      <c r="B175" s="191"/>
      <c r="E175" s="94"/>
      <c r="F175" s="94"/>
      <c r="G175" s="94"/>
    </row>
    <row r="176" spans="1:7" x14ac:dyDescent="0.25">
      <c r="A176" s="89"/>
      <c r="B176" s="191"/>
      <c r="E176" s="94"/>
      <c r="F176" s="94"/>
      <c r="G176" s="94"/>
    </row>
    <row r="177" spans="1:7" x14ac:dyDescent="0.25">
      <c r="A177" s="89"/>
      <c r="B177" s="191"/>
      <c r="E177" s="94"/>
      <c r="F177" s="94"/>
      <c r="G177" s="94"/>
    </row>
    <row r="178" spans="1:7" x14ac:dyDescent="0.25">
      <c r="A178" s="89"/>
      <c r="B178" s="191"/>
      <c r="E178" s="94"/>
      <c r="F178" s="94"/>
      <c r="G178" s="94"/>
    </row>
    <row r="179" spans="1:7" x14ac:dyDescent="0.25">
      <c r="A179" s="89"/>
      <c r="B179" s="191"/>
      <c r="E179" s="94"/>
      <c r="F179" s="94"/>
      <c r="G179" s="94"/>
    </row>
    <row r="180" spans="1:7" x14ac:dyDescent="0.25">
      <c r="A180" s="89"/>
      <c r="B180" s="191"/>
      <c r="E180" s="94"/>
      <c r="F180" s="94"/>
      <c r="G180" s="94"/>
    </row>
    <row r="181" spans="1:7" x14ac:dyDescent="0.25">
      <c r="A181" s="89"/>
      <c r="B181" s="191"/>
      <c r="E181" s="94"/>
      <c r="F181" s="94"/>
      <c r="G181" s="94"/>
    </row>
    <row r="182" spans="1:7" x14ac:dyDescent="0.25">
      <c r="A182" s="89"/>
      <c r="B182" s="191"/>
      <c r="E182" s="94"/>
      <c r="F182" s="94"/>
      <c r="G182" s="94"/>
    </row>
    <row r="183" spans="1:7" x14ac:dyDescent="0.25">
      <c r="A183" s="89"/>
      <c r="B183" s="191"/>
      <c r="E183" s="94"/>
      <c r="F183" s="94"/>
      <c r="G183" s="94"/>
    </row>
    <row r="184" spans="1:7" x14ac:dyDescent="0.25">
      <c r="A184" s="89"/>
      <c r="B184" s="191"/>
      <c r="E184" s="94"/>
      <c r="F184" s="94"/>
      <c r="G184" s="94"/>
    </row>
    <row r="185" spans="1:7" x14ac:dyDescent="0.25">
      <c r="A185" s="89"/>
      <c r="B185" s="191"/>
      <c r="E185" s="94"/>
      <c r="F185" s="94"/>
      <c r="G185" s="94"/>
    </row>
    <row r="186" spans="1:7" x14ac:dyDescent="0.25">
      <c r="A186" s="89"/>
      <c r="B186" s="191"/>
      <c r="E186" s="94"/>
      <c r="F186" s="94"/>
      <c r="G186" s="94"/>
    </row>
    <row r="187" spans="1:7" x14ac:dyDescent="0.25">
      <c r="A187" s="89"/>
      <c r="B187" s="191"/>
      <c r="E187" s="94"/>
      <c r="F187" s="94"/>
      <c r="G187" s="94"/>
    </row>
    <row r="188" spans="1:7" x14ac:dyDescent="0.25">
      <c r="A188" s="89"/>
      <c r="B188" s="191"/>
      <c r="E188" s="94"/>
      <c r="F188" s="94"/>
      <c r="G188" s="94"/>
    </row>
    <row r="189" spans="1:7" x14ac:dyDescent="0.25">
      <c r="A189" s="89"/>
      <c r="B189" s="191"/>
      <c r="E189" s="94"/>
      <c r="F189" s="94"/>
      <c r="G189" s="94"/>
    </row>
    <row r="190" spans="1:7" x14ac:dyDescent="0.25">
      <c r="A190" s="89"/>
      <c r="B190" s="191"/>
      <c r="E190" s="94"/>
      <c r="F190" s="94"/>
      <c r="G190" s="94"/>
    </row>
    <row r="191" spans="1:7" x14ac:dyDescent="0.25">
      <c r="A191" s="89"/>
      <c r="B191" s="191"/>
      <c r="E191" s="94"/>
      <c r="F191" s="94"/>
      <c r="G191" s="94"/>
    </row>
    <row r="192" spans="1:7" x14ac:dyDescent="0.25">
      <c r="A192" s="89"/>
      <c r="B192" s="191"/>
      <c r="E192" s="94"/>
      <c r="F192" s="94"/>
      <c r="G192" s="94"/>
    </row>
    <row r="193" spans="1:7" x14ac:dyDescent="0.25">
      <c r="A193" s="89"/>
      <c r="B193" s="191"/>
      <c r="E193" s="94"/>
      <c r="F193" s="94"/>
      <c r="G193" s="94"/>
    </row>
    <row r="194" spans="1:7" x14ac:dyDescent="0.25">
      <c r="A194" s="89"/>
      <c r="B194" s="191"/>
      <c r="E194" s="94"/>
      <c r="F194" s="94"/>
      <c r="G194" s="94"/>
    </row>
    <row r="195" spans="1:7" x14ac:dyDescent="0.25">
      <c r="A195" s="89"/>
      <c r="B195" s="191"/>
      <c r="E195" s="94"/>
      <c r="F195" s="94"/>
      <c r="G195" s="94"/>
    </row>
    <row r="196" spans="1:7" x14ac:dyDescent="0.25">
      <c r="A196" s="89"/>
      <c r="B196" s="191"/>
      <c r="E196" s="94"/>
      <c r="F196" s="94"/>
      <c r="G196" s="94"/>
    </row>
    <row r="197" spans="1:7" x14ac:dyDescent="0.25">
      <c r="A197" s="89"/>
      <c r="B197" s="191"/>
      <c r="E197" s="94"/>
      <c r="F197" s="94"/>
      <c r="G197" s="94"/>
    </row>
    <row r="198" spans="1:7" x14ac:dyDescent="0.25">
      <c r="A198" s="89"/>
      <c r="B198" s="191"/>
      <c r="E198" s="94"/>
      <c r="F198" s="94"/>
      <c r="G198" s="94"/>
    </row>
    <row r="199" spans="1:7" x14ac:dyDescent="0.25">
      <c r="A199" s="89"/>
      <c r="B199" s="191"/>
      <c r="E199" s="94"/>
      <c r="F199" s="94"/>
      <c r="G199" s="94"/>
    </row>
    <row r="200" spans="1:7" x14ac:dyDescent="0.25">
      <c r="A200" s="89"/>
      <c r="B200" s="191"/>
      <c r="E200" s="94"/>
      <c r="F200" s="94"/>
      <c r="G200" s="94"/>
    </row>
    <row r="201" spans="1:7" x14ac:dyDescent="0.25">
      <c r="A201" s="89"/>
      <c r="B201" s="191"/>
      <c r="E201" s="94"/>
      <c r="F201" s="94"/>
      <c r="G201" s="94"/>
    </row>
    <row r="202" spans="1:7" x14ac:dyDescent="0.25">
      <c r="A202" s="89"/>
      <c r="B202" s="191"/>
      <c r="E202" s="94"/>
      <c r="F202" s="94"/>
      <c r="G202" s="94"/>
    </row>
    <row r="203" spans="1:7" x14ac:dyDescent="0.25">
      <c r="A203" s="89"/>
      <c r="B203" s="191"/>
      <c r="E203" s="94"/>
      <c r="F203" s="94"/>
      <c r="G203" s="94"/>
    </row>
    <row r="204" spans="1:7" x14ac:dyDescent="0.25">
      <c r="A204" s="89"/>
      <c r="B204" s="191"/>
      <c r="E204" s="94"/>
      <c r="F204" s="94"/>
      <c r="G204" s="94"/>
    </row>
    <row r="205" spans="1:7" x14ac:dyDescent="0.25">
      <c r="A205" s="89"/>
      <c r="B205" s="191"/>
      <c r="E205" s="94"/>
      <c r="F205" s="94"/>
      <c r="G205" s="94"/>
    </row>
    <row r="206" spans="1:7" x14ac:dyDescent="0.25">
      <c r="A206" s="89"/>
      <c r="B206" s="191"/>
      <c r="E206" s="94"/>
      <c r="F206" s="94"/>
      <c r="G206" s="94"/>
    </row>
    <row r="207" spans="1:7" x14ac:dyDescent="0.25">
      <c r="A207" s="89"/>
      <c r="B207" s="191"/>
      <c r="E207" s="94"/>
      <c r="F207" s="94"/>
      <c r="G207" s="94"/>
    </row>
    <row r="208" spans="1:7" x14ac:dyDescent="0.25">
      <c r="A208" s="89"/>
      <c r="B208" s="191"/>
      <c r="E208" s="94"/>
      <c r="F208" s="94"/>
      <c r="G208" s="94"/>
    </row>
    <row r="209" spans="1:7" x14ac:dyDescent="0.25">
      <c r="A209" s="89"/>
      <c r="B209" s="191"/>
      <c r="E209" s="94"/>
      <c r="F209" s="94"/>
      <c r="G209" s="94"/>
    </row>
    <row r="210" spans="1:7" x14ac:dyDescent="0.25">
      <c r="A210" s="89"/>
      <c r="B210" s="191"/>
      <c r="E210" s="94"/>
      <c r="F210" s="94"/>
      <c r="G210" s="94"/>
    </row>
    <row r="211" spans="1:7" x14ac:dyDescent="0.25">
      <c r="A211" s="89"/>
      <c r="B211" s="191"/>
      <c r="E211" s="94"/>
      <c r="F211" s="94"/>
      <c r="G211" s="94"/>
    </row>
    <row r="212" spans="1:7" x14ac:dyDescent="0.25">
      <c r="A212" s="89"/>
      <c r="B212" s="191"/>
      <c r="E212" s="94"/>
      <c r="F212" s="94"/>
      <c r="G212" s="94"/>
    </row>
    <row r="213" spans="1:7" x14ac:dyDescent="0.25">
      <c r="A213" s="89"/>
      <c r="B213" s="191"/>
      <c r="E213" s="94"/>
      <c r="F213" s="94"/>
      <c r="G213" s="94"/>
    </row>
    <row r="214" spans="1:7" x14ac:dyDescent="0.25">
      <c r="A214" s="89"/>
      <c r="B214" s="191"/>
      <c r="E214" s="94"/>
      <c r="F214" s="94"/>
      <c r="G214" s="94"/>
    </row>
    <row r="215" spans="1:7" x14ac:dyDescent="0.25">
      <c r="A215" s="89"/>
      <c r="B215" s="191"/>
      <c r="E215" s="94"/>
      <c r="F215" s="94"/>
      <c r="G215" s="94"/>
    </row>
    <row r="216" spans="1:7" x14ac:dyDescent="0.25">
      <c r="A216" s="89"/>
      <c r="B216" s="191"/>
      <c r="E216" s="94"/>
      <c r="F216" s="94"/>
      <c r="G216" s="94"/>
    </row>
    <row r="217" spans="1:7" x14ac:dyDescent="0.25">
      <c r="A217" s="89"/>
      <c r="B217" s="191"/>
      <c r="E217" s="94"/>
      <c r="F217" s="94"/>
      <c r="G217" s="94"/>
    </row>
    <row r="218" spans="1:7" x14ac:dyDescent="0.25">
      <c r="A218" s="89"/>
      <c r="B218" s="191"/>
      <c r="E218" s="94"/>
      <c r="F218" s="94"/>
      <c r="G218" s="94"/>
    </row>
    <row r="219" spans="1:7" x14ac:dyDescent="0.25">
      <c r="A219" s="89"/>
      <c r="B219" s="191"/>
      <c r="E219" s="94"/>
      <c r="F219" s="94"/>
      <c r="G219" s="94"/>
    </row>
    <row r="220" spans="1:7" x14ac:dyDescent="0.25">
      <c r="A220" s="89"/>
      <c r="B220" s="191"/>
      <c r="E220" s="94"/>
      <c r="F220" s="94"/>
      <c r="G220" s="94"/>
    </row>
    <row r="221" spans="1:7" x14ac:dyDescent="0.25">
      <c r="A221" s="89"/>
      <c r="B221" s="191"/>
      <c r="E221" s="94"/>
      <c r="F221" s="94"/>
      <c r="G221" s="94"/>
    </row>
    <row r="222" spans="1:7" x14ac:dyDescent="0.25">
      <c r="A222" s="89"/>
      <c r="B222" s="191"/>
      <c r="E222" s="94"/>
      <c r="F222" s="94"/>
      <c r="G222" s="94"/>
    </row>
    <row r="223" spans="1:7" x14ac:dyDescent="0.25">
      <c r="A223" s="89"/>
      <c r="B223" s="191"/>
      <c r="E223" s="94"/>
      <c r="F223" s="94"/>
      <c r="G223" s="94"/>
    </row>
    <row r="224" spans="1:7" x14ac:dyDescent="0.25">
      <c r="A224" s="89"/>
      <c r="B224" s="191"/>
      <c r="E224" s="94"/>
      <c r="F224" s="94"/>
      <c r="G224" s="94"/>
    </row>
    <row r="225" spans="1:7" x14ac:dyDescent="0.25">
      <c r="A225" s="89"/>
      <c r="B225" s="191"/>
      <c r="E225" s="94"/>
      <c r="F225" s="94"/>
      <c r="G225" s="94"/>
    </row>
    <row r="226" spans="1:7" x14ac:dyDescent="0.25">
      <c r="A226" s="89"/>
      <c r="B226" s="191"/>
      <c r="E226" s="94"/>
      <c r="F226" s="94"/>
      <c r="G226" s="94"/>
    </row>
    <row r="227" spans="1:7" x14ac:dyDescent="0.25">
      <c r="A227" s="89"/>
      <c r="B227" s="191"/>
      <c r="E227" s="94"/>
      <c r="F227" s="94"/>
      <c r="G227" s="94"/>
    </row>
    <row r="228" spans="1:7" x14ac:dyDescent="0.25">
      <c r="A228" s="89"/>
      <c r="B228" s="191"/>
      <c r="E228" s="94"/>
      <c r="F228" s="94"/>
      <c r="G228" s="94"/>
    </row>
    <row r="229" spans="1:7" x14ac:dyDescent="0.25">
      <c r="A229" s="89"/>
      <c r="B229" s="191"/>
      <c r="E229" s="94"/>
      <c r="F229" s="94"/>
      <c r="G229" s="94"/>
    </row>
    <row r="230" spans="1:7" x14ac:dyDescent="0.25">
      <c r="A230" s="89"/>
      <c r="B230" s="191"/>
      <c r="E230" s="94"/>
      <c r="F230" s="94"/>
      <c r="G230" s="94"/>
    </row>
    <row r="231" spans="1:7" x14ac:dyDescent="0.25">
      <c r="A231" s="89"/>
      <c r="B231" s="191"/>
      <c r="E231" s="94"/>
      <c r="F231" s="94"/>
      <c r="G231" s="94"/>
    </row>
    <row r="232" spans="1:7" x14ac:dyDescent="0.25">
      <c r="A232" s="89"/>
      <c r="B232" s="191"/>
      <c r="E232" s="94"/>
      <c r="F232" s="94"/>
      <c r="G232" s="94"/>
    </row>
    <row r="233" spans="1:7" x14ac:dyDescent="0.25">
      <c r="A233" s="89"/>
      <c r="B233" s="191"/>
      <c r="E233" s="94"/>
      <c r="F233" s="94"/>
      <c r="G233" s="94"/>
    </row>
    <row r="234" spans="1:7" x14ac:dyDescent="0.25">
      <c r="A234" s="89"/>
      <c r="B234" s="191"/>
      <c r="E234" s="94"/>
      <c r="F234" s="94"/>
      <c r="G234" s="94"/>
    </row>
    <row r="235" spans="1:7" x14ac:dyDescent="0.25">
      <c r="A235" s="89"/>
      <c r="B235" s="191"/>
      <c r="E235" s="94"/>
      <c r="F235" s="94"/>
      <c r="G235" s="94"/>
    </row>
    <row r="236" spans="1:7" x14ac:dyDescent="0.25">
      <c r="A236" s="89"/>
      <c r="B236" s="191"/>
      <c r="E236" s="94"/>
      <c r="F236" s="94"/>
      <c r="G236" s="94"/>
    </row>
    <row r="237" spans="1:7" x14ac:dyDescent="0.25">
      <c r="A237" s="89"/>
      <c r="B237" s="191"/>
      <c r="E237" s="94"/>
      <c r="F237" s="94"/>
      <c r="G237" s="94"/>
    </row>
    <row r="238" spans="1:7" x14ac:dyDescent="0.25">
      <c r="A238" s="89"/>
      <c r="B238" s="191"/>
      <c r="E238" s="94"/>
      <c r="F238" s="94"/>
      <c r="G238" s="94"/>
    </row>
    <row r="239" spans="1:7" x14ac:dyDescent="0.25">
      <c r="A239" s="89"/>
      <c r="B239" s="191"/>
      <c r="E239" s="94"/>
      <c r="F239" s="94"/>
      <c r="G239" s="94"/>
    </row>
    <row r="240" spans="1:7" x14ac:dyDescent="0.25">
      <c r="A240" s="89"/>
      <c r="B240" s="191"/>
      <c r="E240" s="94"/>
      <c r="F240" s="94"/>
      <c r="G240" s="94"/>
    </row>
    <row r="241" spans="1:7" x14ac:dyDescent="0.25">
      <c r="A241" s="89"/>
      <c r="B241" s="191"/>
      <c r="E241" s="94"/>
      <c r="F241" s="94"/>
      <c r="G241" s="94"/>
    </row>
    <row r="242" spans="1:7" x14ac:dyDescent="0.25">
      <c r="A242" s="89"/>
      <c r="B242" s="191"/>
      <c r="E242" s="94"/>
      <c r="F242" s="94"/>
      <c r="G242" s="94"/>
    </row>
    <row r="243" spans="1:7" x14ac:dyDescent="0.25">
      <c r="A243" s="89"/>
      <c r="B243" s="191"/>
      <c r="E243" s="94"/>
      <c r="F243" s="94"/>
      <c r="G243" s="94"/>
    </row>
    <row r="244" spans="1:7" x14ac:dyDescent="0.25">
      <c r="A244" s="89"/>
      <c r="B244" s="191"/>
      <c r="E244" s="94"/>
      <c r="F244" s="94"/>
      <c r="G244" s="94"/>
    </row>
    <row r="245" spans="1:7" x14ac:dyDescent="0.25">
      <c r="A245" s="89"/>
      <c r="B245" s="191"/>
      <c r="E245" s="94"/>
      <c r="F245" s="94"/>
      <c r="G245" s="94"/>
    </row>
    <row r="246" spans="1:7" x14ac:dyDescent="0.25">
      <c r="A246" s="89"/>
      <c r="B246" s="191"/>
      <c r="E246" s="94"/>
      <c r="F246" s="94"/>
      <c r="G246" s="94"/>
    </row>
    <row r="247" spans="1:7" x14ac:dyDescent="0.25">
      <c r="A247" s="89"/>
      <c r="B247" s="191"/>
      <c r="E247" s="94"/>
      <c r="F247" s="94"/>
      <c r="G247" s="94"/>
    </row>
    <row r="248" spans="1:7" x14ac:dyDescent="0.25">
      <c r="A248" s="89"/>
      <c r="B248" s="191"/>
      <c r="E248" s="94"/>
      <c r="F248" s="94"/>
      <c r="G248" s="94"/>
    </row>
    <row r="249" spans="1:7" x14ac:dyDescent="0.25">
      <c r="A249" s="89"/>
      <c r="B249" s="191"/>
      <c r="E249" s="94"/>
      <c r="F249" s="94"/>
      <c r="G249" s="94"/>
    </row>
    <row r="250" spans="1:7" x14ac:dyDescent="0.25">
      <c r="A250" s="89"/>
      <c r="B250" s="191"/>
      <c r="E250" s="94"/>
      <c r="F250" s="94"/>
      <c r="G250" s="94"/>
    </row>
    <row r="251" spans="1:7" x14ac:dyDescent="0.25">
      <c r="A251" s="89"/>
      <c r="B251" s="191"/>
      <c r="E251" s="94"/>
      <c r="F251" s="94"/>
      <c r="G251" s="94"/>
    </row>
    <row r="252" spans="1:7" x14ac:dyDescent="0.25">
      <c r="A252" s="89"/>
      <c r="B252" s="191"/>
      <c r="E252" s="94"/>
      <c r="F252" s="94"/>
      <c r="G252" s="94"/>
    </row>
    <row r="253" spans="1:7" x14ac:dyDescent="0.25">
      <c r="A253" s="89"/>
      <c r="B253" s="191"/>
      <c r="E253" s="94"/>
      <c r="F253" s="94"/>
      <c r="G253" s="94"/>
    </row>
    <row r="254" spans="1:7" x14ac:dyDescent="0.25">
      <c r="A254" s="89"/>
      <c r="B254" s="191"/>
      <c r="E254" s="94"/>
      <c r="F254" s="94"/>
      <c r="G254" s="94"/>
    </row>
    <row r="255" spans="1:7" x14ac:dyDescent="0.25">
      <c r="A255" s="89"/>
      <c r="B255" s="191"/>
      <c r="E255" s="94"/>
      <c r="F255" s="94"/>
      <c r="G255" s="94"/>
    </row>
    <row r="256" spans="1:7" x14ac:dyDescent="0.25">
      <c r="A256" s="89"/>
      <c r="B256" s="191"/>
      <c r="E256" s="94"/>
      <c r="F256" s="94"/>
      <c r="G256" s="94"/>
    </row>
    <row r="257" spans="1:7" x14ac:dyDescent="0.25">
      <c r="A257" s="89"/>
      <c r="B257" s="191"/>
      <c r="E257" s="94"/>
      <c r="F257" s="94"/>
      <c r="G257" s="94"/>
    </row>
    <row r="258" spans="1:7" x14ac:dyDescent="0.25">
      <c r="A258" s="89"/>
      <c r="B258" s="191"/>
      <c r="E258" s="94"/>
      <c r="F258" s="94"/>
      <c r="G258" s="94"/>
    </row>
    <row r="259" spans="1:7" x14ac:dyDescent="0.25">
      <c r="A259" s="89"/>
      <c r="B259" s="191"/>
      <c r="E259" s="94"/>
      <c r="F259" s="94"/>
      <c r="G259" s="94"/>
    </row>
    <row r="260" spans="1:7" x14ac:dyDescent="0.25">
      <c r="A260" s="89"/>
      <c r="B260" s="191"/>
      <c r="E260" s="94"/>
      <c r="F260" s="94"/>
      <c r="G260" s="94"/>
    </row>
    <row r="261" spans="1:7" x14ac:dyDescent="0.25">
      <c r="A261" s="89"/>
      <c r="B261" s="191"/>
      <c r="E261" s="94"/>
      <c r="F261" s="94"/>
      <c r="G261" s="94"/>
    </row>
    <row r="262" spans="1:7" x14ac:dyDescent="0.25">
      <c r="A262" s="89"/>
      <c r="B262" s="191"/>
      <c r="E262" s="94"/>
      <c r="F262" s="94"/>
      <c r="G262" s="94"/>
    </row>
    <row r="263" spans="1:7" x14ac:dyDescent="0.25">
      <c r="A263" s="89"/>
      <c r="B263" s="191"/>
      <c r="E263" s="94"/>
      <c r="F263" s="94"/>
      <c r="G263" s="94"/>
    </row>
    <row r="264" spans="1:7" x14ac:dyDescent="0.25">
      <c r="A264" s="89"/>
      <c r="B264" s="191"/>
      <c r="E264" s="94"/>
      <c r="F264" s="94"/>
      <c r="G264" s="94"/>
    </row>
    <row r="265" spans="1:7" x14ac:dyDescent="0.25">
      <c r="A265" s="89"/>
      <c r="B265" s="191"/>
      <c r="E265" s="94"/>
      <c r="F265" s="94"/>
      <c r="G265" s="94"/>
    </row>
    <row r="266" spans="1:7" x14ac:dyDescent="0.25">
      <c r="A266" s="89"/>
      <c r="B266" s="191"/>
      <c r="E266" s="94"/>
      <c r="F266" s="94"/>
      <c r="G266" s="94"/>
    </row>
    <row r="267" spans="1:7" x14ac:dyDescent="0.25">
      <c r="A267" s="89"/>
      <c r="B267" s="191"/>
      <c r="E267" s="94"/>
      <c r="F267" s="94"/>
      <c r="G267" s="94"/>
    </row>
    <row r="268" spans="1:7" x14ac:dyDescent="0.25">
      <c r="A268" s="89"/>
      <c r="B268" s="191"/>
      <c r="E268" s="94"/>
      <c r="F268" s="94"/>
      <c r="G268" s="94"/>
    </row>
    <row r="269" spans="1:7" x14ac:dyDescent="0.25">
      <c r="A269" s="89"/>
      <c r="B269" s="191"/>
      <c r="E269" s="94"/>
      <c r="F269" s="94"/>
      <c r="G269" s="94"/>
    </row>
    <row r="270" spans="1:7" x14ac:dyDescent="0.25">
      <c r="A270" s="89"/>
      <c r="B270" s="191"/>
      <c r="E270" s="94"/>
      <c r="F270" s="94"/>
      <c r="G270" s="94"/>
    </row>
    <row r="271" spans="1:7" x14ac:dyDescent="0.25">
      <c r="A271" s="89"/>
      <c r="B271" s="191"/>
      <c r="E271" s="94"/>
      <c r="F271" s="94"/>
      <c r="G271" s="94"/>
    </row>
    <row r="272" spans="1:7" x14ac:dyDescent="0.25">
      <c r="A272" s="89"/>
      <c r="B272" s="191"/>
      <c r="E272" s="94"/>
      <c r="F272" s="94"/>
      <c r="G272" s="94"/>
    </row>
    <row r="273" spans="1:7" x14ac:dyDescent="0.25">
      <c r="A273" s="89"/>
      <c r="B273" s="191"/>
      <c r="E273" s="94"/>
      <c r="F273" s="94"/>
      <c r="G273" s="94"/>
    </row>
    <row r="274" spans="1:7" x14ac:dyDescent="0.25">
      <c r="A274" s="89"/>
      <c r="B274" s="191"/>
      <c r="E274" s="94"/>
      <c r="F274" s="94"/>
      <c r="G274" s="94"/>
    </row>
    <row r="275" spans="1:7" x14ac:dyDescent="0.25">
      <c r="A275" s="89"/>
      <c r="B275" s="191"/>
      <c r="E275" s="94"/>
      <c r="F275" s="94"/>
      <c r="G275" s="94"/>
    </row>
    <row r="276" spans="1:7" x14ac:dyDescent="0.25">
      <c r="A276" s="89"/>
      <c r="B276" s="191"/>
      <c r="E276" s="94"/>
      <c r="F276" s="94"/>
      <c r="G276" s="94"/>
    </row>
    <row r="277" spans="1:7" x14ac:dyDescent="0.25">
      <c r="A277" s="89"/>
      <c r="B277" s="191"/>
      <c r="E277" s="94"/>
      <c r="F277" s="94"/>
      <c r="G277" s="94"/>
    </row>
    <row r="278" spans="1:7" x14ac:dyDescent="0.25">
      <c r="A278" s="89"/>
      <c r="B278" s="191"/>
      <c r="E278" s="94"/>
      <c r="F278" s="94"/>
      <c r="G278" s="94"/>
    </row>
    <row r="279" spans="1:7" x14ac:dyDescent="0.25">
      <c r="A279" s="89"/>
      <c r="B279" s="191"/>
      <c r="E279" s="94"/>
      <c r="F279" s="94"/>
      <c r="G279" s="94"/>
    </row>
    <row r="280" spans="1:7" x14ac:dyDescent="0.25">
      <c r="A280" s="89"/>
      <c r="B280" s="191"/>
      <c r="E280" s="94"/>
      <c r="F280" s="94"/>
      <c r="G280" s="94"/>
    </row>
    <row r="281" spans="1:7" x14ac:dyDescent="0.25">
      <c r="A281" s="89"/>
      <c r="B281" s="191"/>
      <c r="E281" s="94"/>
      <c r="F281" s="94"/>
      <c r="G281" s="94"/>
    </row>
    <row r="282" spans="1:7" x14ac:dyDescent="0.25">
      <c r="A282" s="89"/>
      <c r="B282" s="191"/>
      <c r="E282" s="94"/>
      <c r="F282" s="94"/>
      <c r="G282" s="94"/>
    </row>
    <row r="283" spans="1:7" x14ac:dyDescent="0.25">
      <c r="A283" s="89"/>
      <c r="B283" s="191"/>
      <c r="E283" s="94"/>
      <c r="F283" s="94"/>
      <c r="G283" s="94"/>
    </row>
    <row r="284" spans="1:7" x14ac:dyDescent="0.25">
      <c r="A284" s="89"/>
      <c r="B284" s="191"/>
      <c r="E284" s="94"/>
      <c r="F284" s="94"/>
      <c r="G284" s="94"/>
    </row>
    <row r="285" spans="1:7" x14ac:dyDescent="0.25">
      <c r="A285" s="89"/>
      <c r="B285" s="191"/>
      <c r="E285" s="94"/>
      <c r="F285" s="94"/>
      <c r="G285" s="94"/>
    </row>
    <row r="286" spans="1:7" x14ac:dyDescent="0.25">
      <c r="A286" s="89"/>
      <c r="B286" s="191"/>
      <c r="E286" s="94"/>
      <c r="F286" s="94"/>
      <c r="G286" s="94"/>
    </row>
    <row r="287" spans="1:7" x14ac:dyDescent="0.25">
      <c r="A287" s="89"/>
      <c r="B287" s="191"/>
      <c r="E287" s="94"/>
      <c r="F287" s="94"/>
      <c r="G287" s="94"/>
    </row>
    <row r="288" spans="1:7" x14ac:dyDescent="0.25">
      <c r="A288" s="89"/>
      <c r="B288" s="191"/>
      <c r="E288" s="94"/>
      <c r="F288" s="94"/>
      <c r="G288" s="94"/>
    </row>
    <row r="289" spans="1:7" x14ac:dyDescent="0.25">
      <c r="A289" s="89"/>
      <c r="B289" s="191"/>
      <c r="E289" s="94"/>
      <c r="F289" s="94"/>
      <c r="G289" s="94"/>
    </row>
    <row r="290" spans="1:7" x14ac:dyDescent="0.25">
      <c r="A290" s="89"/>
      <c r="B290" s="191"/>
      <c r="E290" s="94"/>
      <c r="F290" s="94"/>
      <c r="G290" s="94"/>
    </row>
    <row r="291" spans="1:7" x14ac:dyDescent="0.25">
      <c r="A291" s="89"/>
      <c r="B291" s="191"/>
      <c r="E291" s="94"/>
      <c r="F291" s="94"/>
      <c r="G291" s="94"/>
    </row>
    <row r="292" spans="1:7" x14ac:dyDescent="0.25">
      <c r="A292" s="89"/>
      <c r="B292" s="191"/>
      <c r="E292" s="94"/>
      <c r="F292" s="94"/>
      <c r="G292" s="94"/>
    </row>
    <row r="293" spans="1:7" x14ac:dyDescent="0.25">
      <c r="A293" s="89"/>
      <c r="B293" s="191"/>
      <c r="E293" s="94"/>
      <c r="F293" s="94"/>
      <c r="G293" s="94"/>
    </row>
    <row r="294" spans="1:7" x14ac:dyDescent="0.25">
      <c r="A294" s="89"/>
      <c r="B294" s="191"/>
      <c r="E294" s="94"/>
      <c r="F294" s="94"/>
      <c r="G294" s="94"/>
    </row>
    <row r="295" spans="1:7" x14ac:dyDescent="0.25">
      <c r="A295" s="89"/>
      <c r="B295" s="191"/>
      <c r="E295" s="94"/>
      <c r="F295" s="94"/>
      <c r="G295" s="94"/>
    </row>
    <row r="296" spans="1:7" x14ac:dyDescent="0.25">
      <c r="A296" s="89"/>
      <c r="B296" s="191"/>
      <c r="E296" s="94"/>
      <c r="F296" s="94"/>
      <c r="G296" s="94"/>
    </row>
    <row r="297" spans="1:7" x14ac:dyDescent="0.25">
      <c r="A297" s="89"/>
      <c r="B297" s="191"/>
      <c r="E297" s="94"/>
      <c r="F297" s="94"/>
      <c r="G297" s="94"/>
    </row>
    <row r="298" spans="1:7" x14ac:dyDescent="0.25">
      <c r="A298" s="89"/>
      <c r="B298" s="191"/>
      <c r="E298" s="94"/>
      <c r="F298" s="94"/>
      <c r="G298" s="94"/>
    </row>
    <row r="299" spans="1:7" x14ac:dyDescent="0.25">
      <c r="A299" s="89"/>
      <c r="B299" s="191"/>
      <c r="E299" s="94"/>
      <c r="F299" s="94"/>
      <c r="G299" s="94"/>
    </row>
    <row r="300" spans="1:7" x14ac:dyDescent="0.25">
      <c r="A300" s="89"/>
      <c r="B300" s="191"/>
      <c r="E300" s="94"/>
      <c r="F300" s="94"/>
      <c r="G300" s="94"/>
    </row>
    <row r="301" spans="1:7" x14ac:dyDescent="0.25">
      <c r="A301" s="89"/>
      <c r="B301" s="191"/>
      <c r="E301" s="94"/>
      <c r="F301" s="94"/>
      <c r="G301" s="94"/>
    </row>
    <row r="302" spans="1:7" x14ac:dyDescent="0.25">
      <c r="A302" s="89"/>
      <c r="B302" s="191"/>
      <c r="E302" s="94"/>
      <c r="F302" s="94"/>
      <c r="G302" s="94"/>
    </row>
    <row r="303" spans="1:7" x14ac:dyDescent="0.25">
      <c r="A303" s="89"/>
      <c r="B303" s="191"/>
      <c r="E303" s="94"/>
      <c r="F303" s="94"/>
      <c r="G303" s="94"/>
    </row>
    <row r="304" spans="1:7" x14ac:dyDescent="0.25">
      <c r="A304" s="89"/>
      <c r="B304" s="191"/>
      <c r="E304" s="94"/>
      <c r="F304" s="94"/>
      <c r="G304" s="94"/>
    </row>
    <row r="305" spans="1:7" x14ac:dyDescent="0.25">
      <c r="A305" s="89"/>
      <c r="B305" s="191"/>
      <c r="E305" s="94"/>
      <c r="F305" s="94"/>
      <c r="G305" s="94"/>
    </row>
    <row r="306" spans="1:7" x14ac:dyDescent="0.25">
      <c r="A306" s="89"/>
      <c r="B306" s="191"/>
      <c r="E306" s="94"/>
      <c r="F306" s="94"/>
      <c r="G306" s="94"/>
    </row>
    <row r="307" spans="1:7" x14ac:dyDescent="0.25">
      <c r="A307" s="89"/>
      <c r="B307" s="191"/>
      <c r="E307" s="94"/>
      <c r="F307" s="94"/>
      <c r="G307" s="94"/>
    </row>
    <row r="308" spans="1:7" x14ac:dyDescent="0.25">
      <c r="A308" s="89"/>
      <c r="B308" s="191"/>
      <c r="E308" s="94"/>
      <c r="F308" s="94"/>
      <c r="G308" s="94"/>
    </row>
    <row r="309" spans="1:7" x14ac:dyDescent="0.25">
      <c r="A309" s="89"/>
      <c r="B309" s="191"/>
      <c r="E309" s="94"/>
      <c r="F309" s="94"/>
      <c r="G309" s="94"/>
    </row>
    <row r="310" spans="1:7" x14ac:dyDescent="0.25">
      <c r="A310" s="89"/>
      <c r="B310" s="191"/>
      <c r="E310" s="94"/>
      <c r="F310" s="94"/>
      <c r="G310" s="94"/>
    </row>
    <row r="311" spans="1:7" x14ac:dyDescent="0.25">
      <c r="A311" s="89"/>
      <c r="B311" s="191"/>
      <c r="E311" s="94"/>
      <c r="F311" s="94"/>
      <c r="G311" s="94"/>
    </row>
    <row r="312" spans="1:7" x14ac:dyDescent="0.25">
      <c r="A312" s="89"/>
      <c r="B312" s="191"/>
      <c r="E312" s="94"/>
      <c r="F312" s="94"/>
      <c r="G312" s="94"/>
    </row>
    <row r="313" spans="1:7" x14ac:dyDescent="0.25">
      <c r="A313" s="89"/>
      <c r="B313" s="191"/>
      <c r="E313" s="94"/>
      <c r="F313" s="94"/>
      <c r="G313" s="94"/>
    </row>
    <row r="314" spans="1:7" x14ac:dyDescent="0.25">
      <c r="A314" s="89"/>
      <c r="B314" s="191"/>
      <c r="E314" s="94"/>
      <c r="F314" s="94"/>
      <c r="G314" s="94"/>
    </row>
    <row r="315" spans="1:7" x14ac:dyDescent="0.25">
      <c r="A315" s="89"/>
      <c r="B315" s="191"/>
      <c r="E315" s="94"/>
      <c r="F315" s="94"/>
      <c r="G315" s="94"/>
    </row>
    <row r="316" spans="1:7" x14ac:dyDescent="0.25">
      <c r="A316" s="89"/>
      <c r="B316" s="191"/>
      <c r="E316" s="94"/>
      <c r="F316" s="94"/>
      <c r="G316" s="94"/>
    </row>
    <row r="317" spans="1:7" x14ac:dyDescent="0.25">
      <c r="A317" s="89"/>
      <c r="B317" s="191"/>
      <c r="E317" s="94"/>
      <c r="F317" s="94"/>
      <c r="G317" s="94"/>
    </row>
    <row r="318" spans="1:7" x14ac:dyDescent="0.25">
      <c r="A318" s="89"/>
      <c r="B318" s="191"/>
      <c r="E318" s="94"/>
      <c r="F318" s="94"/>
      <c r="G318" s="94"/>
    </row>
    <row r="319" spans="1:7" x14ac:dyDescent="0.25">
      <c r="A319" s="89"/>
      <c r="B319" s="191"/>
      <c r="E319" s="94"/>
      <c r="F319" s="94"/>
      <c r="G319" s="94"/>
    </row>
    <row r="320" spans="1:7" x14ac:dyDescent="0.25">
      <c r="A320" s="89"/>
      <c r="B320" s="191"/>
      <c r="E320" s="94"/>
      <c r="F320" s="94"/>
      <c r="G320" s="94"/>
    </row>
    <row r="321" spans="1:7" x14ac:dyDescent="0.25">
      <c r="A321" s="89"/>
      <c r="B321" s="191"/>
      <c r="E321" s="94"/>
      <c r="F321" s="94"/>
      <c r="G321" s="94"/>
    </row>
    <row r="322" spans="1:7" x14ac:dyDescent="0.25">
      <c r="A322" s="89"/>
      <c r="B322" s="191"/>
      <c r="E322" s="94"/>
      <c r="F322" s="94"/>
      <c r="G322" s="94"/>
    </row>
    <row r="323" spans="1:7" x14ac:dyDescent="0.25">
      <c r="A323" s="89"/>
      <c r="B323" s="191"/>
      <c r="E323" s="94"/>
      <c r="F323" s="94"/>
      <c r="G323" s="94"/>
    </row>
    <row r="324" spans="1:7" x14ac:dyDescent="0.25">
      <c r="A324" s="89"/>
      <c r="B324" s="191"/>
      <c r="E324" s="94"/>
      <c r="F324" s="94"/>
      <c r="G324" s="94"/>
    </row>
    <row r="325" spans="1:7" x14ac:dyDescent="0.25">
      <c r="A325" s="89"/>
      <c r="B325" s="191"/>
      <c r="E325" s="94"/>
      <c r="F325" s="94"/>
      <c r="G325" s="94"/>
    </row>
    <row r="326" spans="1:7" x14ac:dyDescent="0.25">
      <c r="A326" s="89"/>
      <c r="B326" s="191"/>
      <c r="E326" s="94"/>
      <c r="F326" s="94"/>
      <c r="G326" s="94"/>
    </row>
    <row r="327" spans="1:7" x14ac:dyDescent="0.25">
      <c r="A327" s="89"/>
      <c r="B327" s="191"/>
      <c r="E327" s="94"/>
      <c r="F327" s="94"/>
      <c r="G327" s="94"/>
    </row>
    <row r="328" spans="1:7" x14ac:dyDescent="0.25">
      <c r="A328" s="89"/>
      <c r="B328" s="191"/>
      <c r="E328" s="94"/>
      <c r="F328" s="94"/>
      <c r="G328" s="94"/>
    </row>
    <row r="329" spans="1:7" x14ac:dyDescent="0.25">
      <c r="A329" s="89"/>
      <c r="B329" s="191"/>
      <c r="E329" s="94"/>
      <c r="F329" s="94"/>
      <c r="G329" s="94"/>
    </row>
    <row r="330" spans="1:7" x14ac:dyDescent="0.25">
      <c r="A330" s="89"/>
      <c r="B330" s="191"/>
      <c r="E330" s="94"/>
      <c r="F330" s="94"/>
      <c r="G330" s="94"/>
    </row>
    <row r="331" spans="1:7" x14ac:dyDescent="0.25">
      <c r="A331" s="89"/>
      <c r="B331" s="191"/>
      <c r="E331" s="94"/>
      <c r="F331" s="94"/>
      <c r="G331" s="94"/>
    </row>
    <row r="332" spans="1:7" x14ac:dyDescent="0.25">
      <c r="A332" s="89"/>
      <c r="B332" s="191"/>
      <c r="E332" s="94"/>
      <c r="F332" s="94"/>
      <c r="G332" s="94"/>
    </row>
    <row r="333" spans="1:7" x14ac:dyDescent="0.25">
      <c r="A333" s="89"/>
      <c r="B333" s="191"/>
      <c r="E333" s="94"/>
      <c r="F333" s="94"/>
      <c r="G333" s="94"/>
    </row>
    <row r="334" spans="1:7" x14ac:dyDescent="0.25">
      <c r="A334" s="89"/>
      <c r="B334" s="191"/>
      <c r="E334" s="94"/>
      <c r="F334" s="94"/>
      <c r="G334" s="94"/>
    </row>
    <row r="335" spans="1:7" x14ac:dyDescent="0.25">
      <c r="A335" s="89"/>
      <c r="B335" s="191"/>
      <c r="E335" s="94"/>
      <c r="F335" s="94"/>
      <c r="G335" s="94"/>
    </row>
    <row r="336" spans="1:7" x14ac:dyDescent="0.25">
      <c r="A336" s="89"/>
      <c r="B336" s="191"/>
      <c r="E336" s="94"/>
      <c r="F336" s="94"/>
      <c r="G336" s="94"/>
    </row>
    <row r="337" spans="1:7" x14ac:dyDescent="0.25">
      <c r="A337" s="89"/>
      <c r="B337" s="191"/>
      <c r="E337" s="94"/>
      <c r="F337" s="94"/>
      <c r="G337" s="94"/>
    </row>
    <row r="338" spans="1:7" x14ac:dyDescent="0.25">
      <c r="A338" s="89"/>
      <c r="B338" s="191"/>
      <c r="E338" s="94"/>
      <c r="F338" s="94"/>
      <c r="G338" s="94"/>
    </row>
    <row r="339" spans="1:7" x14ac:dyDescent="0.25">
      <c r="A339" s="89"/>
      <c r="B339" s="191"/>
      <c r="E339" s="94"/>
      <c r="F339" s="94"/>
      <c r="G339" s="94"/>
    </row>
    <row r="340" spans="1:7" x14ac:dyDescent="0.25">
      <c r="A340" s="89"/>
      <c r="B340" s="191"/>
      <c r="E340" s="94"/>
      <c r="F340" s="94"/>
      <c r="G340" s="94"/>
    </row>
    <row r="341" spans="1:7" x14ac:dyDescent="0.25">
      <c r="A341" s="89"/>
      <c r="B341" s="191"/>
      <c r="E341" s="94"/>
      <c r="F341" s="94"/>
      <c r="G341" s="94"/>
    </row>
    <row r="342" spans="1:7" x14ac:dyDescent="0.25">
      <c r="A342" s="89"/>
      <c r="B342" s="191"/>
      <c r="E342" s="94"/>
      <c r="F342" s="94"/>
      <c r="G342" s="94"/>
    </row>
    <row r="343" spans="1:7" x14ac:dyDescent="0.25">
      <c r="A343" s="89"/>
      <c r="B343" s="191"/>
      <c r="E343" s="94"/>
      <c r="F343" s="94"/>
      <c r="G343" s="94"/>
    </row>
    <row r="344" spans="1:7" x14ac:dyDescent="0.25">
      <c r="A344" s="89"/>
      <c r="B344" s="191"/>
      <c r="E344" s="94"/>
      <c r="F344" s="94"/>
      <c r="G344" s="94"/>
    </row>
    <row r="345" spans="1:7" x14ac:dyDescent="0.25">
      <c r="A345" s="89"/>
      <c r="B345" s="191"/>
      <c r="E345" s="94"/>
      <c r="F345" s="94"/>
      <c r="G345" s="94"/>
    </row>
    <row r="346" spans="1:7" x14ac:dyDescent="0.25">
      <c r="A346" s="89"/>
      <c r="B346" s="191"/>
      <c r="E346" s="94"/>
      <c r="F346" s="94"/>
      <c r="G346" s="94"/>
    </row>
    <row r="347" spans="1:7" x14ac:dyDescent="0.25">
      <c r="A347" s="89"/>
      <c r="B347" s="191"/>
      <c r="E347" s="94"/>
      <c r="F347" s="94"/>
      <c r="G347" s="94"/>
    </row>
    <row r="348" spans="1:7" x14ac:dyDescent="0.25">
      <c r="A348" s="89"/>
      <c r="B348" s="191"/>
      <c r="E348" s="94"/>
      <c r="F348" s="94"/>
      <c r="G348" s="94"/>
    </row>
    <row r="349" spans="1:7" x14ac:dyDescent="0.25">
      <c r="A349" s="89"/>
      <c r="B349" s="191"/>
      <c r="E349" s="94"/>
      <c r="F349" s="94"/>
      <c r="G349" s="94"/>
    </row>
    <row r="350" spans="1:7" x14ac:dyDescent="0.25">
      <c r="A350" s="89"/>
      <c r="B350" s="191"/>
      <c r="E350" s="94"/>
      <c r="F350" s="94"/>
      <c r="G350" s="94"/>
    </row>
    <row r="351" spans="1:7" x14ac:dyDescent="0.25">
      <c r="A351" s="89"/>
      <c r="B351" s="191"/>
      <c r="E351" s="94"/>
      <c r="F351" s="94"/>
      <c r="G351" s="94"/>
    </row>
    <row r="352" spans="1:7" x14ac:dyDescent="0.25">
      <c r="A352" s="89"/>
      <c r="B352" s="191"/>
      <c r="E352" s="94"/>
      <c r="F352" s="94"/>
      <c r="G352" s="94"/>
    </row>
    <row r="353" spans="1:7" x14ac:dyDescent="0.25">
      <c r="A353" s="89"/>
      <c r="B353" s="191"/>
      <c r="E353" s="94"/>
      <c r="F353" s="94"/>
      <c r="G353" s="94"/>
    </row>
    <row r="354" spans="1:7" x14ac:dyDescent="0.25">
      <c r="A354" s="89"/>
      <c r="B354" s="191"/>
      <c r="E354" s="94"/>
      <c r="F354" s="94"/>
      <c r="G354" s="94"/>
    </row>
    <row r="355" spans="1:7" x14ac:dyDescent="0.25">
      <c r="A355" s="89"/>
      <c r="B355" s="191"/>
      <c r="E355" s="94"/>
      <c r="F355" s="94"/>
      <c r="G355" s="94"/>
    </row>
    <row r="356" spans="1:7" x14ac:dyDescent="0.25">
      <c r="A356" s="89"/>
      <c r="B356" s="191"/>
      <c r="E356" s="94"/>
      <c r="F356" s="94"/>
      <c r="G356" s="94"/>
    </row>
    <row r="357" spans="1:7" x14ac:dyDescent="0.25">
      <c r="A357" s="89"/>
      <c r="B357" s="191"/>
      <c r="E357" s="94"/>
      <c r="F357" s="94"/>
      <c r="G357" s="94"/>
    </row>
    <row r="358" spans="1:7" x14ac:dyDescent="0.25">
      <c r="A358" s="89"/>
      <c r="B358" s="191"/>
      <c r="E358" s="94"/>
      <c r="F358" s="94"/>
      <c r="G358" s="94"/>
    </row>
    <row r="359" spans="1:7" x14ac:dyDescent="0.25">
      <c r="A359" s="89"/>
      <c r="B359" s="191"/>
      <c r="E359" s="94"/>
      <c r="F359" s="94"/>
      <c r="G359" s="94"/>
    </row>
    <row r="360" spans="1:7" x14ac:dyDescent="0.25">
      <c r="A360" s="89"/>
      <c r="B360" s="191"/>
      <c r="E360" s="94"/>
      <c r="F360" s="94"/>
      <c r="G360" s="94"/>
    </row>
    <row r="361" spans="1:7" x14ac:dyDescent="0.25">
      <c r="A361" s="89"/>
      <c r="B361" s="191"/>
      <c r="E361" s="94"/>
      <c r="F361" s="94"/>
      <c r="G361" s="94"/>
    </row>
    <row r="362" spans="1:7" x14ac:dyDescent="0.25">
      <c r="A362" s="89"/>
      <c r="B362" s="191"/>
      <c r="E362" s="94"/>
      <c r="F362" s="94"/>
      <c r="G362" s="94"/>
    </row>
    <row r="363" spans="1:7" x14ac:dyDescent="0.25">
      <c r="A363" s="89"/>
      <c r="B363" s="191"/>
      <c r="E363" s="94"/>
      <c r="F363" s="94"/>
      <c r="G363" s="94"/>
    </row>
    <row r="364" spans="1:7" x14ac:dyDescent="0.25">
      <c r="A364" s="89"/>
      <c r="B364" s="191"/>
      <c r="E364" s="94"/>
      <c r="F364" s="94"/>
      <c r="G364" s="94"/>
    </row>
    <row r="365" spans="1:7" x14ac:dyDescent="0.25">
      <c r="A365" s="89"/>
      <c r="B365" s="191"/>
      <c r="E365" s="94"/>
      <c r="F365" s="94"/>
      <c r="G365" s="94"/>
    </row>
    <row r="366" spans="1:7" x14ac:dyDescent="0.25">
      <c r="A366" s="89"/>
      <c r="B366" s="191"/>
      <c r="E366" s="94"/>
      <c r="F366" s="94"/>
      <c r="G366" s="94"/>
    </row>
    <row r="367" spans="1:7" x14ac:dyDescent="0.25">
      <c r="A367" s="89"/>
      <c r="B367" s="191"/>
      <c r="E367" s="94"/>
      <c r="F367" s="94"/>
      <c r="G367" s="94"/>
    </row>
    <row r="368" spans="1:7" x14ac:dyDescent="0.25">
      <c r="A368" s="89"/>
      <c r="B368" s="191"/>
      <c r="E368" s="94"/>
      <c r="F368" s="94"/>
      <c r="G368" s="94"/>
    </row>
    <row r="369" spans="1:7" x14ac:dyDescent="0.25">
      <c r="A369" s="89"/>
      <c r="B369" s="191"/>
      <c r="E369" s="94"/>
      <c r="F369" s="94"/>
      <c r="G369" s="94"/>
    </row>
    <row r="370" spans="1:7" x14ac:dyDescent="0.25">
      <c r="A370" s="89"/>
      <c r="B370" s="191"/>
      <c r="E370" s="94"/>
      <c r="F370" s="94"/>
      <c r="G370" s="94"/>
    </row>
    <row r="371" spans="1:7" x14ac:dyDescent="0.25">
      <c r="A371" s="89"/>
      <c r="B371" s="191"/>
      <c r="E371" s="94"/>
      <c r="F371" s="94"/>
      <c r="G371" s="94"/>
    </row>
    <row r="372" spans="1:7" x14ac:dyDescent="0.25">
      <c r="A372" s="89"/>
      <c r="B372" s="191"/>
      <c r="E372" s="94"/>
      <c r="F372" s="94"/>
      <c r="G372" s="94"/>
    </row>
    <row r="373" spans="1:7" x14ac:dyDescent="0.25">
      <c r="A373" s="89"/>
      <c r="B373" s="191"/>
      <c r="E373" s="94"/>
      <c r="F373" s="94"/>
      <c r="G373" s="94"/>
    </row>
    <row r="374" spans="1:7" x14ac:dyDescent="0.25">
      <c r="A374" s="89"/>
      <c r="B374" s="191"/>
      <c r="E374" s="94"/>
      <c r="F374" s="94"/>
      <c r="G374" s="94"/>
    </row>
    <row r="375" spans="1:7" x14ac:dyDescent="0.25">
      <c r="A375" s="89"/>
      <c r="B375" s="191"/>
      <c r="E375" s="94"/>
      <c r="F375" s="94"/>
      <c r="G375" s="94"/>
    </row>
    <row r="376" spans="1:7" x14ac:dyDescent="0.25">
      <c r="A376" s="89"/>
      <c r="B376" s="191"/>
      <c r="E376" s="94"/>
      <c r="F376" s="94"/>
      <c r="G376" s="94"/>
    </row>
    <row r="377" spans="1:7" x14ac:dyDescent="0.25">
      <c r="A377" s="89"/>
      <c r="B377" s="191"/>
      <c r="E377" s="94"/>
      <c r="F377" s="94"/>
      <c r="G377" s="94"/>
    </row>
    <row r="378" spans="1:7" x14ac:dyDescent="0.25">
      <c r="A378" s="89"/>
      <c r="B378" s="191"/>
      <c r="E378" s="94"/>
      <c r="F378" s="94"/>
      <c r="G378" s="94"/>
    </row>
    <row r="379" spans="1:7" x14ac:dyDescent="0.25">
      <c r="A379" s="89"/>
      <c r="B379" s="191"/>
      <c r="E379" s="94"/>
      <c r="F379" s="94"/>
      <c r="G379" s="94"/>
    </row>
    <row r="380" spans="1:7" x14ac:dyDescent="0.25">
      <c r="A380" s="89"/>
      <c r="B380" s="191"/>
      <c r="E380" s="94"/>
      <c r="F380" s="94"/>
      <c r="G380" s="94"/>
    </row>
    <row r="381" spans="1:7" x14ac:dyDescent="0.25">
      <c r="A381" s="89"/>
      <c r="B381" s="191"/>
      <c r="E381" s="94"/>
      <c r="F381" s="94"/>
      <c r="G381" s="94"/>
    </row>
    <row r="382" spans="1:7" x14ac:dyDescent="0.25">
      <c r="A382" s="89"/>
      <c r="B382" s="191"/>
      <c r="E382" s="94"/>
      <c r="F382" s="94"/>
      <c r="G382" s="94"/>
    </row>
    <row r="383" spans="1:7" x14ac:dyDescent="0.25">
      <c r="A383" s="89"/>
      <c r="B383" s="191"/>
      <c r="E383" s="94"/>
      <c r="F383" s="94"/>
      <c r="G383" s="94"/>
    </row>
    <row r="384" spans="1:7" x14ac:dyDescent="0.25">
      <c r="A384" s="89"/>
      <c r="B384" s="191"/>
      <c r="E384" s="94"/>
      <c r="F384" s="94"/>
      <c r="G384" s="94"/>
    </row>
    <row r="385" spans="1:7" x14ac:dyDescent="0.25">
      <c r="A385" s="89"/>
      <c r="B385" s="191"/>
      <c r="E385" s="94"/>
      <c r="F385" s="94"/>
      <c r="G385" s="94"/>
    </row>
    <row r="386" spans="1:7" x14ac:dyDescent="0.25">
      <c r="A386" s="89"/>
      <c r="B386" s="191"/>
      <c r="E386" s="94"/>
      <c r="F386" s="94"/>
      <c r="G386" s="94"/>
    </row>
    <row r="387" spans="1:7" x14ac:dyDescent="0.25">
      <c r="A387" s="89"/>
      <c r="B387" s="191"/>
      <c r="E387" s="94"/>
      <c r="F387" s="94"/>
      <c r="G387" s="94"/>
    </row>
    <row r="388" spans="1:7" x14ac:dyDescent="0.25">
      <c r="A388" s="89"/>
      <c r="B388" s="191"/>
      <c r="E388" s="94"/>
      <c r="F388" s="94"/>
      <c r="G388" s="94"/>
    </row>
    <row r="389" spans="1:7" x14ac:dyDescent="0.25">
      <c r="A389" s="89"/>
      <c r="B389" s="191"/>
      <c r="E389" s="94"/>
      <c r="F389" s="94"/>
      <c r="G389" s="94"/>
    </row>
    <row r="390" spans="1:7" x14ac:dyDescent="0.25">
      <c r="A390" s="89"/>
      <c r="B390" s="191"/>
      <c r="E390" s="94"/>
      <c r="F390" s="94"/>
      <c r="G390" s="94"/>
    </row>
    <row r="391" spans="1:7" x14ac:dyDescent="0.25">
      <c r="A391" s="89"/>
      <c r="B391" s="191"/>
      <c r="E391" s="94"/>
      <c r="F391" s="94"/>
      <c r="G391" s="94"/>
    </row>
    <row r="392" spans="1:7" x14ac:dyDescent="0.25">
      <c r="A392" s="89"/>
      <c r="B392" s="191"/>
      <c r="E392" s="94"/>
      <c r="F392" s="94"/>
      <c r="G392" s="94"/>
    </row>
    <row r="393" spans="1:7" x14ac:dyDescent="0.25">
      <c r="A393" s="89"/>
      <c r="B393" s="191"/>
      <c r="E393" s="94"/>
      <c r="F393" s="94"/>
      <c r="G393" s="94"/>
    </row>
    <row r="394" spans="1:7" x14ac:dyDescent="0.25">
      <c r="A394" s="89"/>
      <c r="B394" s="191"/>
      <c r="E394" s="94"/>
      <c r="F394" s="94"/>
      <c r="G394" s="94"/>
    </row>
    <row r="395" spans="1:7" x14ac:dyDescent="0.25">
      <c r="A395" s="89"/>
      <c r="B395" s="191"/>
      <c r="E395" s="94"/>
      <c r="F395" s="94"/>
      <c r="G395" s="94"/>
    </row>
    <row r="396" spans="1:7" x14ac:dyDescent="0.25">
      <c r="A396" s="89"/>
      <c r="B396" s="191"/>
      <c r="E396" s="94"/>
      <c r="F396" s="94"/>
      <c r="G396" s="94"/>
    </row>
    <row r="397" spans="1:7" x14ac:dyDescent="0.25">
      <c r="A397" s="89"/>
      <c r="B397" s="191"/>
      <c r="E397" s="94"/>
      <c r="F397" s="94"/>
      <c r="G397" s="94"/>
    </row>
    <row r="398" spans="1:7" x14ac:dyDescent="0.25">
      <c r="A398" s="89"/>
      <c r="B398" s="191"/>
      <c r="E398" s="94"/>
      <c r="F398" s="94"/>
      <c r="G398" s="94"/>
    </row>
    <row r="399" spans="1:7" x14ac:dyDescent="0.25">
      <c r="A399" s="89"/>
      <c r="B399" s="191"/>
      <c r="E399" s="94"/>
      <c r="F399" s="94"/>
      <c r="G399" s="94"/>
    </row>
    <row r="400" spans="1:7" x14ac:dyDescent="0.25">
      <c r="A400" s="89"/>
      <c r="B400" s="191"/>
      <c r="E400" s="94"/>
      <c r="F400" s="94"/>
      <c r="G400" s="94"/>
    </row>
    <row r="401" spans="1:7" x14ac:dyDescent="0.25">
      <c r="A401" s="89"/>
      <c r="B401" s="191"/>
      <c r="E401" s="94"/>
      <c r="F401" s="94"/>
      <c r="G401" s="94"/>
    </row>
    <row r="402" spans="1:7" x14ac:dyDescent="0.25">
      <c r="A402" s="89"/>
      <c r="B402" s="191"/>
      <c r="E402" s="94"/>
      <c r="F402" s="94"/>
      <c r="G402" s="94"/>
    </row>
    <row r="403" spans="1:7" x14ac:dyDescent="0.25">
      <c r="A403" s="89"/>
      <c r="B403" s="191"/>
      <c r="E403" s="94"/>
      <c r="F403" s="94"/>
      <c r="G403" s="94"/>
    </row>
    <row r="404" spans="1:7" x14ac:dyDescent="0.25">
      <c r="A404" s="89"/>
      <c r="B404" s="191"/>
      <c r="E404" s="94"/>
      <c r="F404" s="94"/>
      <c r="G404" s="94"/>
    </row>
    <row r="405" spans="1:7" x14ac:dyDescent="0.25">
      <c r="A405" s="89"/>
      <c r="B405" s="191"/>
      <c r="E405" s="94"/>
      <c r="F405" s="94"/>
      <c r="G405" s="94"/>
    </row>
    <row r="406" spans="1:7" x14ac:dyDescent="0.25">
      <c r="A406" s="89"/>
      <c r="B406" s="191"/>
      <c r="E406" s="94"/>
      <c r="F406" s="94"/>
      <c r="G406" s="94"/>
    </row>
    <row r="407" spans="1:7" x14ac:dyDescent="0.25">
      <c r="A407" s="89"/>
      <c r="B407" s="191"/>
      <c r="E407" s="94"/>
      <c r="F407" s="94"/>
      <c r="G407" s="94"/>
    </row>
    <row r="408" spans="1:7" x14ac:dyDescent="0.25">
      <c r="A408" s="89"/>
      <c r="B408" s="191"/>
      <c r="E408" s="94"/>
      <c r="F408" s="94"/>
      <c r="G408" s="94"/>
    </row>
    <row r="409" spans="1:7" x14ac:dyDescent="0.25">
      <c r="A409" s="89"/>
      <c r="B409" s="191"/>
      <c r="E409" s="94"/>
      <c r="F409" s="94"/>
      <c r="G409" s="94"/>
    </row>
    <row r="410" spans="1:7" x14ac:dyDescent="0.25">
      <c r="A410" s="89"/>
      <c r="B410" s="191"/>
      <c r="E410" s="94"/>
      <c r="F410" s="94"/>
      <c r="G410" s="94"/>
    </row>
    <row r="411" spans="1:7" x14ac:dyDescent="0.25">
      <c r="A411" s="89"/>
      <c r="B411" s="191"/>
      <c r="E411" s="94"/>
      <c r="F411" s="94"/>
      <c r="G411" s="94"/>
    </row>
    <row r="412" spans="1:7" x14ac:dyDescent="0.25">
      <c r="A412" s="89"/>
      <c r="B412" s="191"/>
      <c r="E412" s="94"/>
      <c r="F412" s="94"/>
      <c r="G412" s="94"/>
    </row>
    <row r="413" spans="1:7" x14ac:dyDescent="0.25">
      <c r="A413" s="89"/>
      <c r="B413" s="191"/>
      <c r="E413" s="94"/>
      <c r="F413" s="94"/>
      <c r="G413" s="94"/>
    </row>
    <row r="414" spans="1:7" x14ac:dyDescent="0.25">
      <c r="A414" s="89"/>
      <c r="B414" s="191"/>
      <c r="E414" s="94"/>
      <c r="F414" s="94"/>
      <c r="G414" s="94"/>
    </row>
    <row r="415" spans="1:7" x14ac:dyDescent="0.25">
      <c r="A415" s="89"/>
      <c r="B415" s="191"/>
      <c r="E415" s="94"/>
      <c r="F415" s="94"/>
      <c r="G415" s="94"/>
    </row>
    <row r="416" spans="1:7" x14ac:dyDescent="0.25">
      <c r="A416" s="89"/>
      <c r="B416" s="191"/>
      <c r="E416" s="94"/>
      <c r="F416" s="94"/>
      <c r="G416" s="94"/>
    </row>
    <row r="417" spans="1:7" x14ac:dyDescent="0.25">
      <c r="A417" s="89"/>
      <c r="B417" s="191"/>
      <c r="E417" s="94"/>
      <c r="F417" s="94"/>
      <c r="G417" s="94"/>
    </row>
    <row r="418" spans="1:7" x14ac:dyDescent="0.25">
      <c r="A418" s="89"/>
      <c r="B418" s="191"/>
      <c r="E418" s="94"/>
      <c r="F418" s="94"/>
      <c r="G418" s="94"/>
    </row>
    <row r="419" spans="1:7" x14ac:dyDescent="0.25">
      <c r="A419" s="89"/>
      <c r="B419" s="191"/>
      <c r="E419" s="94"/>
      <c r="F419" s="94"/>
      <c r="G419" s="94"/>
    </row>
    <row r="420" spans="1:7" x14ac:dyDescent="0.25">
      <c r="A420" s="89"/>
      <c r="B420" s="191"/>
      <c r="E420" s="94"/>
      <c r="F420" s="94"/>
      <c r="G420" s="94"/>
    </row>
    <row r="421" spans="1:7" x14ac:dyDescent="0.25">
      <c r="A421" s="89"/>
      <c r="B421" s="191"/>
      <c r="E421" s="94"/>
      <c r="F421" s="94"/>
      <c r="G421" s="94"/>
    </row>
    <row r="422" spans="1:7" x14ac:dyDescent="0.25">
      <c r="A422" s="89"/>
      <c r="B422" s="191"/>
      <c r="E422" s="94"/>
      <c r="F422" s="94"/>
      <c r="G422" s="94"/>
    </row>
    <row r="423" spans="1:7" x14ac:dyDescent="0.25">
      <c r="A423" s="89"/>
      <c r="B423" s="191"/>
      <c r="E423" s="94"/>
      <c r="F423" s="94"/>
      <c r="G423" s="94"/>
    </row>
    <row r="424" spans="1:7" x14ac:dyDescent="0.25">
      <c r="A424" s="89"/>
      <c r="B424" s="191"/>
      <c r="E424" s="94"/>
      <c r="F424" s="94"/>
      <c r="G424" s="94"/>
    </row>
    <row r="425" spans="1:7" x14ac:dyDescent="0.25">
      <c r="A425" s="89"/>
      <c r="B425" s="191"/>
      <c r="E425" s="94"/>
      <c r="F425" s="94"/>
      <c r="G425" s="94"/>
    </row>
    <row r="426" spans="1:7" x14ac:dyDescent="0.25">
      <c r="A426" s="89"/>
      <c r="B426" s="191"/>
      <c r="E426" s="94"/>
      <c r="F426" s="94"/>
      <c r="G426" s="94"/>
    </row>
    <row r="427" spans="1:7" x14ac:dyDescent="0.25">
      <c r="A427" s="89"/>
      <c r="B427" s="191"/>
      <c r="E427" s="94"/>
      <c r="F427" s="94"/>
      <c r="G427" s="94"/>
    </row>
    <row r="428" spans="1:7" x14ac:dyDescent="0.25">
      <c r="A428" s="89"/>
      <c r="B428" s="191"/>
      <c r="E428" s="94"/>
      <c r="F428" s="94"/>
      <c r="G428" s="94"/>
    </row>
    <row r="429" spans="1:7" x14ac:dyDescent="0.25">
      <c r="A429" s="89"/>
      <c r="B429" s="191"/>
      <c r="E429" s="94"/>
      <c r="F429" s="94"/>
      <c r="G429" s="94"/>
    </row>
    <row r="430" spans="1:7" x14ac:dyDescent="0.25">
      <c r="A430" s="89"/>
      <c r="B430" s="191"/>
      <c r="E430" s="94"/>
      <c r="F430" s="94"/>
      <c r="G430" s="94"/>
    </row>
    <row r="431" spans="1:7" x14ac:dyDescent="0.25">
      <c r="A431" s="89"/>
      <c r="B431" s="191"/>
      <c r="E431" s="94"/>
      <c r="F431" s="94"/>
      <c r="G431" s="94"/>
    </row>
    <row r="432" spans="1:7" x14ac:dyDescent="0.25">
      <c r="A432" s="89"/>
      <c r="B432" s="191"/>
      <c r="E432" s="94"/>
      <c r="F432" s="94"/>
      <c r="G432" s="94"/>
    </row>
    <row r="433" spans="1:7" x14ac:dyDescent="0.25">
      <c r="A433" s="89"/>
      <c r="B433" s="191"/>
      <c r="E433" s="94"/>
      <c r="F433" s="94"/>
      <c r="G433" s="94"/>
    </row>
    <row r="434" spans="1:7" x14ac:dyDescent="0.25">
      <c r="A434" s="89"/>
      <c r="B434" s="191"/>
      <c r="E434" s="94"/>
      <c r="F434" s="94"/>
      <c r="G434" s="94"/>
    </row>
    <row r="435" spans="1:7" x14ac:dyDescent="0.25">
      <c r="A435" s="89"/>
      <c r="B435" s="191"/>
      <c r="E435" s="94"/>
      <c r="F435" s="94"/>
      <c r="G435" s="94"/>
    </row>
    <row r="436" spans="1:7" x14ac:dyDescent="0.25">
      <c r="A436" s="89"/>
      <c r="B436" s="191"/>
      <c r="E436" s="94"/>
      <c r="F436" s="94"/>
      <c r="G436" s="94"/>
    </row>
    <row r="437" spans="1:7" x14ac:dyDescent="0.25">
      <c r="A437" s="89"/>
      <c r="B437" s="191"/>
      <c r="E437" s="94"/>
      <c r="F437" s="94"/>
      <c r="G437" s="94"/>
    </row>
    <row r="438" spans="1:7" x14ac:dyDescent="0.25">
      <c r="A438" s="89"/>
      <c r="B438" s="191"/>
      <c r="E438" s="94"/>
      <c r="F438" s="94"/>
      <c r="G438" s="94"/>
    </row>
    <row r="439" spans="1:7" x14ac:dyDescent="0.25">
      <c r="A439" s="89"/>
      <c r="B439" s="191"/>
      <c r="E439" s="94"/>
      <c r="F439" s="94"/>
      <c r="G439" s="94"/>
    </row>
    <row r="440" spans="1:7" x14ac:dyDescent="0.25">
      <c r="A440" s="89"/>
      <c r="B440" s="191"/>
      <c r="E440" s="94"/>
      <c r="F440" s="94"/>
      <c r="G440" s="94"/>
    </row>
    <row r="441" spans="1:7" x14ac:dyDescent="0.25">
      <c r="A441" s="89"/>
      <c r="B441" s="191"/>
      <c r="E441" s="94"/>
      <c r="F441" s="94"/>
      <c r="G441" s="94"/>
    </row>
    <row r="442" spans="1:7" x14ac:dyDescent="0.25">
      <c r="A442" s="89"/>
      <c r="B442" s="191"/>
      <c r="E442" s="94"/>
      <c r="F442" s="94"/>
      <c r="G442" s="94"/>
    </row>
    <row r="443" spans="1:7" x14ac:dyDescent="0.25">
      <c r="A443" s="89"/>
      <c r="B443" s="191"/>
      <c r="E443" s="94"/>
      <c r="F443" s="94"/>
      <c r="G443" s="94"/>
    </row>
    <row r="444" spans="1:7" x14ac:dyDescent="0.25">
      <c r="A444" s="89"/>
      <c r="B444" s="191"/>
      <c r="E444" s="94"/>
      <c r="F444" s="94"/>
      <c r="G444" s="94"/>
    </row>
    <row r="445" spans="1:7" x14ac:dyDescent="0.25">
      <c r="A445" s="89"/>
      <c r="B445" s="191"/>
      <c r="E445" s="94"/>
      <c r="F445" s="94"/>
      <c r="G445" s="94"/>
    </row>
    <row r="446" spans="1:7" x14ac:dyDescent="0.25">
      <c r="A446" s="89"/>
      <c r="B446" s="191"/>
      <c r="E446" s="94"/>
      <c r="F446" s="94"/>
      <c r="G446" s="94"/>
    </row>
    <row r="447" spans="1:7" x14ac:dyDescent="0.25">
      <c r="A447" s="89"/>
      <c r="B447" s="191"/>
      <c r="E447" s="94"/>
      <c r="F447" s="94"/>
      <c r="G447" s="94"/>
    </row>
    <row r="448" spans="1:7" x14ac:dyDescent="0.25">
      <c r="A448" s="89"/>
      <c r="B448" s="191"/>
      <c r="E448" s="94"/>
      <c r="F448" s="94"/>
      <c r="G448" s="94"/>
    </row>
    <row r="449" spans="1:7" x14ac:dyDescent="0.25">
      <c r="A449" s="89"/>
      <c r="B449" s="191"/>
      <c r="E449" s="94"/>
      <c r="F449" s="94"/>
      <c r="G449" s="94"/>
    </row>
    <row r="450" spans="1:7" x14ac:dyDescent="0.25">
      <c r="A450" s="89"/>
      <c r="B450" s="191"/>
      <c r="E450" s="94"/>
      <c r="F450" s="94"/>
      <c r="G450" s="94"/>
    </row>
    <row r="451" spans="1:7" x14ac:dyDescent="0.25">
      <c r="A451" s="89"/>
      <c r="B451" s="191"/>
      <c r="E451" s="94"/>
      <c r="F451" s="94"/>
      <c r="G451" s="94"/>
    </row>
    <row r="452" spans="1:7" x14ac:dyDescent="0.25">
      <c r="A452" s="89"/>
      <c r="B452" s="191"/>
      <c r="E452" s="94"/>
      <c r="F452" s="94"/>
      <c r="G452" s="94"/>
    </row>
    <row r="453" spans="1:7" x14ac:dyDescent="0.25">
      <c r="A453" s="89"/>
      <c r="B453" s="191"/>
      <c r="E453" s="94"/>
      <c r="F453" s="94"/>
      <c r="G453" s="94"/>
    </row>
    <row r="454" spans="1:7" x14ac:dyDescent="0.25">
      <c r="A454" s="89"/>
      <c r="B454" s="191"/>
      <c r="E454" s="94"/>
      <c r="F454" s="94"/>
      <c r="G454" s="94"/>
    </row>
    <row r="455" spans="1:7" x14ac:dyDescent="0.25">
      <c r="A455" s="89"/>
      <c r="B455" s="191"/>
      <c r="E455" s="94"/>
      <c r="F455" s="94"/>
      <c r="G455" s="94"/>
    </row>
    <row r="456" spans="1:7" x14ac:dyDescent="0.25">
      <c r="A456" s="89"/>
      <c r="B456" s="191"/>
      <c r="E456" s="94"/>
      <c r="F456" s="94"/>
      <c r="G456" s="94"/>
    </row>
    <row r="457" spans="1:7" x14ac:dyDescent="0.25">
      <c r="A457" s="89"/>
      <c r="B457" s="191"/>
      <c r="E457" s="94"/>
      <c r="F457" s="94"/>
      <c r="G457" s="94"/>
    </row>
    <row r="458" spans="1:7" x14ac:dyDescent="0.25">
      <c r="A458" s="89"/>
      <c r="B458" s="191"/>
      <c r="E458" s="94"/>
      <c r="F458" s="94"/>
      <c r="G458" s="94"/>
    </row>
    <row r="459" spans="1:7" x14ac:dyDescent="0.25">
      <c r="A459" s="89"/>
      <c r="B459" s="191"/>
      <c r="E459" s="94"/>
      <c r="F459" s="94"/>
      <c r="G459" s="94"/>
    </row>
    <row r="460" spans="1:7" x14ac:dyDescent="0.25">
      <c r="A460" s="89"/>
      <c r="B460" s="191"/>
      <c r="E460" s="94"/>
      <c r="F460" s="94"/>
      <c r="G460" s="94"/>
    </row>
    <row r="461" spans="1:7" x14ac:dyDescent="0.25">
      <c r="A461" s="89"/>
      <c r="B461" s="191"/>
      <c r="E461" s="94"/>
      <c r="F461" s="94"/>
      <c r="G461" s="94"/>
    </row>
    <row r="462" spans="1:7" x14ac:dyDescent="0.25">
      <c r="A462" s="89"/>
      <c r="B462" s="191"/>
      <c r="E462" s="94"/>
      <c r="F462" s="94"/>
      <c r="G462" s="94"/>
    </row>
    <row r="463" spans="1:7" x14ac:dyDescent="0.25">
      <c r="A463" s="89"/>
      <c r="B463" s="191"/>
      <c r="E463" s="94"/>
      <c r="F463" s="94"/>
      <c r="G463" s="94"/>
    </row>
    <row r="464" spans="1:7" x14ac:dyDescent="0.25">
      <c r="A464" s="89"/>
      <c r="B464" s="191"/>
      <c r="E464" s="94"/>
      <c r="F464" s="94"/>
      <c r="G464" s="94"/>
    </row>
    <row r="465" spans="1:7" x14ac:dyDescent="0.25">
      <c r="A465" s="89"/>
      <c r="B465" s="191"/>
      <c r="E465" s="94"/>
      <c r="F465" s="94"/>
      <c r="G465" s="94"/>
    </row>
    <row r="466" spans="1:7" x14ac:dyDescent="0.25">
      <c r="A466" s="89"/>
      <c r="B466" s="191"/>
      <c r="E466" s="94"/>
      <c r="F466" s="94"/>
      <c r="G466" s="94"/>
    </row>
    <row r="467" spans="1:7" x14ac:dyDescent="0.25">
      <c r="A467" s="89"/>
      <c r="B467" s="191"/>
      <c r="E467" s="94"/>
      <c r="F467" s="94"/>
      <c r="G467" s="94"/>
    </row>
    <row r="468" spans="1:7" x14ac:dyDescent="0.25">
      <c r="A468" s="89"/>
      <c r="B468" s="191"/>
      <c r="E468" s="94"/>
      <c r="F468" s="94"/>
      <c r="G468" s="94"/>
    </row>
    <row r="469" spans="1:7" x14ac:dyDescent="0.25">
      <c r="A469" s="89"/>
      <c r="B469" s="191"/>
      <c r="E469" s="94"/>
      <c r="F469" s="94"/>
      <c r="G469" s="94"/>
    </row>
    <row r="470" spans="1:7" x14ac:dyDescent="0.25">
      <c r="A470" s="89"/>
      <c r="B470" s="191"/>
      <c r="E470" s="94"/>
      <c r="F470" s="94"/>
      <c r="G470" s="94"/>
    </row>
    <row r="471" spans="1:7" x14ac:dyDescent="0.25">
      <c r="A471" s="89"/>
      <c r="B471" s="191"/>
      <c r="E471" s="94"/>
      <c r="F471" s="94"/>
      <c r="G471" s="94"/>
    </row>
    <row r="472" spans="1:7" x14ac:dyDescent="0.25">
      <c r="A472" s="89"/>
      <c r="B472" s="191"/>
      <c r="E472" s="94"/>
      <c r="F472" s="94"/>
      <c r="G472" s="94"/>
    </row>
    <row r="473" spans="1:7" x14ac:dyDescent="0.25">
      <c r="A473" s="89"/>
      <c r="B473" s="191"/>
      <c r="E473" s="94"/>
      <c r="F473" s="94"/>
      <c r="G473" s="94"/>
    </row>
    <row r="474" spans="1:7" x14ac:dyDescent="0.25">
      <c r="A474" s="89"/>
      <c r="B474" s="191"/>
      <c r="E474" s="94"/>
      <c r="F474" s="94"/>
      <c r="G474" s="94"/>
    </row>
    <row r="475" spans="1:7" x14ac:dyDescent="0.25">
      <c r="A475" s="89"/>
      <c r="B475" s="191"/>
      <c r="E475" s="94"/>
      <c r="F475" s="94"/>
      <c r="G475" s="94"/>
    </row>
    <row r="476" spans="1:7" x14ac:dyDescent="0.25">
      <c r="A476" s="89"/>
      <c r="B476" s="191"/>
      <c r="E476" s="94"/>
      <c r="F476" s="94"/>
      <c r="G476" s="94"/>
    </row>
    <row r="477" spans="1:7" x14ac:dyDescent="0.25">
      <c r="A477" s="89"/>
      <c r="B477" s="191"/>
      <c r="E477" s="94"/>
      <c r="F477" s="94"/>
      <c r="G477" s="94"/>
    </row>
    <row r="478" spans="1:7" x14ac:dyDescent="0.25">
      <c r="A478" s="89"/>
      <c r="B478" s="191"/>
      <c r="E478" s="94"/>
      <c r="F478" s="94"/>
      <c r="G478" s="94"/>
    </row>
    <row r="479" spans="1:7" x14ac:dyDescent="0.25">
      <c r="A479" s="89"/>
      <c r="B479" s="191"/>
      <c r="E479" s="94"/>
      <c r="F479" s="94"/>
      <c r="G479" s="94"/>
    </row>
    <row r="480" spans="1:7" x14ac:dyDescent="0.25">
      <c r="A480" s="89"/>
      <c r="B480" s="191"/>
      <c r="E480" s="94"/>
      <c r="F480" s="94"/>
      <c r="G480" s="94"/>
    </row>
    <row r="481" spans="1:7" x14ac:dyDescent="0.25">
      <c r="A481" s="89"/>
      <c r="B481" s="191"/>
      <c r="E481" s="94"/>
      <c r="F481" s="94"/>
      <c r="G481" s="94"/>
    </row>
    <row r="482" spans="1:7" x14ac:dyDescent="0.25">
      <c r="A482" s="89"/>
      <c r="B482" s="191"/>
      <c r="E482" s="94"/>
      <c r="F482" s="94"/>
      <c r="G482" s="94"/>
    </row>
    <row r="483" spans="1:7" x14ac:dyDescent="0.25">
      <c r="A483" s="89"/>
      <c r="B483" s="191"/>
      <c r="E483" s="94"/>
      <c r="F483" s="94"/>
      <c r="G483" s="94"/>
    </row>
    <row r="484" spans="1:7" x14ac:dyDescent="0.25">
      <c r="A484" s="89"/>
      <c r="B484" s="191"/>
      <c r="E484" s="94"/>
      <c r="F484" s="94"/>
      <c r="G484" s="94"/>
    </row>
    <row r="485" spans="1:7" x14ac:dyDescent="0.25">
      <c r="A485" s="89"/>
      <c r="B485" s="191"/>
      <c r="E485" s="94"/>
      <c r="F485" s="94"/>
      <c r="G485" s="94"/>
    </row>
    <row r="486" spans="1:7" x14ac:dyDescent="0.25">
      <c r="A486" s="89"/>
      <c r="B486" s="191"/>
      <c r="E486" s="94"/>
      <c r="F486" s="94"/>
      <c r="G486" s="94"/>
    </row>
    <row r="487" spans="1:7" x14ac:dyDescent="0.25">
      <c r="A487" s="89"/>
      <c r="B487" s="191"/>
      <c r="E487" s="94"/>
      <c r="F487" s="94"/>
      <c r="G487" s="94"/>
    </row>
    <row r="488" spans="1:7" x14ac:dyDescent="0.25">
      <c r="A488" s="89"/>
      <c r="B488" s="191"/>
      <c r="E488" s="94"/>
      <c r="F488" s="94"/>
      <c r="G488" s="94"/>
    </row>
    <row r="489" spans="1:7" x14ac:dyDescent="0.25">
      <c r="A489" s="89"/>
      <c r="B489" s="191"/>
      <c r="E489" s="94"/>
      <c r="F489" s="94"/>
      <c r="G489" s="94"/>
    </row>
    <row r="490" spans="1:7" x14ac:dyDescent="0.25">
      <c r="A490" s="89"/>
      <c r="B490" s="191"/>
      <c r="E490" s="94"/>
      <c r="F490" s="94"/>
      <c r="G490" s="94"/>
    </row>
    <row r="491" spans="1:7" x14ac:dyDescent="0.25">
      <c r="A491" s="89"/>
      <c r="B491" s="191"/>
      <c r="E491" s="94"/>
      <c r="F491" s="94"/>
      <c r="G491" s="94"/>
    </row>
    <row r="492" spans="1:7" x14ac:dyDescent="0.25">
      <c r="A492" s="89"/>
      <c r="B492" s="191"/>
      <c r="E492" s="94"/>
      <c r="F492" s="94"/>
      <c r="G492" s="94"/>
    </row>
    <row r="493" spans="1:7" x14ac:dyDescent="0.25">
      <c r="A493" s="89"/>
      <c r="B493" s="191"/>
      <c r="E493" s="94"/>
      <c r="F493" s="94"/>
      <c r="G493" s="94"/>
    </row>
    <row r="494" spans="1:7" x14ac:dyDescent="0.25">
      <c r="A494" s="89"/>
      <c r="B494" s="191"/>
      <c r="E494" s="94"/>
      <c r="F494" s="94"/>
      <c r="G494" s="94"/>
    </row>
    <row r="495" spans="1:7" x14ac:dyDescent="0.25">
      <c r="A495" s="89"/>
      <c r="B495" s="191"/>
      <c r="E495" s="94"/>
      <c r="F495" s="94"/>
      <c r="G495" s="94"/>
    </row>
    <row r="496" spans="1:7" x14ac:dyDescent="0.25">
      <c r="A496" s="89"/>
      <c r="B496" s="191"/>
      <c r="E496" s="94"/>
      <c r="F496" s="94"/>
      <c r="G496" s="94"/>
    </row>
    <row r="497" spans="1:7" x14ac:dyDescent="0.25">
      <c r="A497" s="89"/>
      <c r="B497" s="191"/>
      <c r="E497" s="94"/>
      <c r="F497" s="94"/>
      <c r="G497" s="94"/>
    </row>
    <row r="498" spans="1:7" x14ac:dyDescent="0.25">
      <c r="A498" s="89"/>
      <c r="B498" s="191"/>
      <c r="E498" s="94"/>
      <c r="F498" s="94"/>
      <c r="G498" s="94"/>
    </row>
    <row r="499" spans="1:7" x14ac:dyDescent="0.25">
      <c r="A499" s="89"/>
      <c r="B499" s="191"/>
      <c r="E499" s="94"/>
      <c r="F499" s="94"/>
      <c r="G499" s="94"/>
    </row>
    <row r="500" spans="1:7" x14ac:dyDescent="0.25">
      <c r="A500" s="89"/>
      <c r="B500" s="191"/>
      <c r="E500" s="94"/>
      <c r="F500" s="94"/>
      <c r="G500" s="94"/>
    </row>
    <row r="501" spans="1:7" x14ac:dyDescent="0.25">
      <c r="A501" s="89"/>
      <c r="B501" s="191"/>
      <c r="E501" s="94"/>
      <c r="F501" s="94"/>
      <c r="G501" s="94"/>
    </row>
    <row r="502" spans="1:7" x14ac:dyDescent="0.25">
      <c r="A502" s="89"/>
      <c r="B502" s="191"/>
      <c r="E502" s="94"/>
      <c r="F502" s="94"/>
      <c r="G502" s="94"/>
    </row>
    <row r="503" spans="1:7" x14ac:dyDescent="0.25">
      <c r="A503" s="89"/>
      <c r="B503" s="191"/>
      <c r="E503" s="94"/>
      <c r="F503" s="94"/>
      <c r="G503" s="94"/>
    </row>
    <row r="504" spans="1:7" x14ac:dyDescent="0.25">
      <c r="A504" s="89"/>
      <c r="B504" s="191"/>
      <c r="E504" s="94"/>
      <c r="F504" s="94"/>
      <c r="G504" s="94"/>
    </row>
    <row r="505" spans="1:7" x14ac:dyDescent="0.25">
      <c r="A505" s="89"/>
      <c r="B505" s="191"/>
      <c r="E505" s="94"/>
      <c r="F505" s="94"/>
      <c r="G505" s="94"/>
    </row>
    <row r="506" spans="1:7" x14ac:dyDescent="0.25">
      <c r="A506" s="89"/>
      <c r="B506" s="191"/>
      <c r="E506" s="94"/>
      <c r="F506" s="94"/>
      <c r="G506" s="94"/>
    </row>
    <row r="507" spans="1:7" x14ac:dyDescent="0.25">
      <c r="A507" s="89"/>
      <c r="B507" s="191"/>
      <c r="E507" s="94"/>
      <c r="F507" s="94"/>
      <c r="G507" s="94"/>
    </row>
    <row r="508" spans="1:7" x14ac:dyDescent="0.25">
      <c r="A508" s="89"/>
      <c r="B508" s="191"/>
      <c r="E508" s="94"/>
      <c r="F508" s="94"/>
      <c r="G508" s="94"/>
    </row>
    <row r="509" spans="1:7" x14ac:dyDescent="0.25">
      <c r="A509" s="89"/>
      <c r="B509" s="191"/>
      <c r="E509" s="94"/>
      <c r="F509" s="94"/>
      <c r="G509" s="94"/>
    </row>
    <row r="510" spans="1:7" x14ac:dyDescent="0.25">
      <c r="A510" s="89"/>
      <c r="B510" s="191"/>
      <c r="E510" s="94"/>
      <c r="F510" s="94"/>
      <c r="G510" s="94"/>
    </row>
    <row r="511" spans="1:7" x14ac:dyDescent="0.25">
      <c r="A511" s="89"/>
      <c r="B511" s="191"/>
      <c r="E511" s="94"/>
      <c r="F511" s="94"/>
      <c r="G511" s="94"/>
    </row>
    <row r="512" spans="1:7" x14ac:dyDescent="0.25">
      <c r="A512" s="89"/>
      <c r="B512" s="191"/>
      <c r="E512" s="94"/>
      <c r="F512" s="94"/>
      <c r="G512" s="94"/>
    </row>
    <row r="513" spans="1:7" x14ac:dyDescent="0.25">
      <c r="A513" s="89"/>
      <c r="B513" s="191"/>
      <c r="E513" s="94"/>
      <c r="F513" s="94"/>
      <c r="G513" s="94"/>
    </row>
    <row r="514" spans="1:7" x14ac:dyDescent="0.25">
      <c r="A514" s="89"/>
      <c r="B514" s="191"/>
      <c r="E514" s="94"/>
      <c r="F514" s="94"/>
      <c r="G514" s="94"/>
    </row>
    <row r="515" spans="1:7" x14ac:dyDescent="0.25">
      <c r="A515" s="89"/>
      <c r="B515" s="191"/>
      <c r="E515" s="94"/>
      <c r="F515" s="94"/>
      <c r="G515" s="94"/>
    </row>
    <row r="516" spans="1:7" x14ac:dyDescent="0.25">
      <c r="A516" s="89"/>
      <c r="B516" s="191"/>
      <c r="E516" s="94"/>
      <c r="F516" s="94"/>
      <c r="G516" s="94"/>
    </row>
    <row r="517" spans="1:7" x14ac:dyDescent="0.25">
      <c r="A517" s="89"/>
      <c r="B517" s="191"/>
      <c r="E517" s="94"/>
      <c r="F517" s="94"/>
      <c r="G517" s="94"/>
    </row>
    <row r="518" spans="1:7" x14ac:dyDescent="0.25">
      <c r="A518" s="89"/>
      <c r="B518" s="191"/>
      <c r="E518" s="94"/>
      <c r="F518" s="94"/>
      <c r="G518" s="94"/>
    </row>
    <row r="519" spans="1:7" x14ac:dyDescent="0.25">
      <c r="A519" s="89"/>
      <c r="B519" s="191"/>
      <c r="E519" s="94"/>
      <c r="F519" s="94"/>
      <c r="G519" s="94"/>
    </row>
    <row r="520" spans="1:7" x14ac:dyDescent="0.25">
      <c r="A520" s="89"/>
      <c r="B520" s="191"/>
      <c r="E520" s="94"/>
      <c r="F520" s="94"/>
      <c r="G520" s="94"/>
    </row>
    <row r="521" spans="1:7" x14ac:dyDescent="0.25">
      <c r="A521" s="89"/>
      <c r="B521" s="191"/>
      <c r="E521" s="94"/>
      <c r="F521" s="94"/>
      <c r="G521" s="94"/>
    </row>
    <row r="522" spans="1:7" x14ac:dyDescent="0.25">
      <c r="A522" s="89"/>
      <c r="B522" s="191"/>
      <c r="E522" s="94"/>
      <c r="F522" s="94"/>
      <c r="G522" s="94"/>
    </row>
    <row r="523" spans="1:7" x14ac:dyDescent="0.25">
      <c r="A523" s="89"/>
      <c r="B523" s="191"/>
      <c r="E523" s="94"/>
      <c r="F523" s="94"/>
      <c r="G523" s="94"/>
    </row>
    <row r="524" spans="1:7" x14ac:dyDescent="0.25">
      <c r="A524" s="89"/>
      <c r="B524" s="191"/>
      <c r="E524" s="94"/>
      <c r="F524" s="94"/>
      <c r="G524" s="94"/>
    </row>
    <row r="525" spans="1:7" x14ac:dyDescent="0.25">
      <c r="A525" s="89"/>
      <c r="B525" s="191"/>
      <c r="E525" s="94"/>
      <c r="F525" s="94"/>
      <c r="G525" s="94"/>
    </row>
    <row r="526" spans="1:7" x14ac:dyDescent="0.25">
      <c r="A526" s="89"/>
      <c r="B526" s="191"/>
      <c r="E526" s="94"/>
      <c r="F526" s="94"/>
      <c r="G526" s="94"/>
    </row>
    <row r="527" spans="1:7" x14ac:dyDescent="0.25">
      <c r="A527" s="89"/>
      <c r="B527" s="191"/>
      <c r="E527" s="94"/>
      <c r="F527" s="94"/>
      <c r="G527" s="94"/>
    </row>
    <row r="528" spans="1:7" x14ac:dyDescent="0.25">
      <c r="A528" s="89"/>
      <c r="B528" s="191"/>
      <c r="E528" s="94"/>
      <c r="F528" s="94"/>
      <c r="G528" s="94"/>
    </row>
    <row r="529" spans="1:7" x14ac:dyDescent="0.25">
      <c r="A529" s="89"/>
      <c r="B529" s="191"/>
      <c r="E529" s="94"/>
      <c r="F529" s="94"/>
      <c r="G529" s="94"/>
    </row>
    <row r="530" spans="1:7" x14ac:dyDescent="0.25">
      <c r="A530" s="89"/>
      <c r="B530" s="191"/>
      <c r="E530" s="94"/>
      <c r="F530" s="94"/>
      <c r="G530" s="94"/>
    </row>
    <row r="531" spans="1:7" x14ac:dyDescent="0.25">
      <c r="A531" s="89"/>
      <c r="B531" s="191"/>
      <c r="E531" s="94"/>
      <c r="F531" s="94"/>
      <c r="G531" s="94"/>
    </row>
    <row r="532" spans="1:7" x14ac:dyDescent="0.25">
      <c r="A532" s="89"/>
      <c r="B532" s="191"/>
      <c r="E532" s="94"/>
      <c r="F532" s="94"/>
      <c r="G532" s="94"/>
    </row>
    <row r="533" spans="1:7" x14ac:dyDescent="0.25">
      <c r="A533" s="89"/>
      <c r="B533" s="191"/>
      <c r="E533" s="94"/>
      <c r="F533" s="94"/>
      <c r="G533" s="94"/>
    </row>
    <row r="534" spans="1:7" x14ac:dyDescent="0.25">
      <c r="A534" s="89"/>
      <c r="B534" s="191"/>
      <c r="E534" s="94"/>
      <c r="F534" s="94"/>
      <c r="G534" s="94"/>
    </row>
    <row r="535" spans="1:7" x14ac:dyDescent="0.25">
      <c r="A535" s="89"/>
      <c r="B535" s="191"/>
      <c r="E535" s="94"/>
      <c r="F535" s="94"/>
      <c r="G535" s="94"/>
    </row>
    <row r="536" spans="1:7" x14ac:dyDescent="0.25">
      <c r="A536" s="89"/>
      <c r="B536" s="191"/>
      <c r="E536" s="94"/>
      <c r="F536" s="94"/>
      <c r="G536" s="94"/>
    </row>
    <row r="537" spans="1:7" x14ac:dyDescent="0.25">
      <c r="A537" s="89"/>
      <c r="B537" s="191"/>
      <c r="E537" s="94"/>
      <c r="F537" s="94"/>
      <c r="G537" s="94"/>
    </row>
    <row r="538" spans="1:7" x14ac:dyDescent="0.25">
      <c r="A538" s="89"/>
      <c r="B538" s="191"/>
      <c r="E538" s="94"/>
      <c r="F538" s="94"/>
      <c r="G538" s="94"/>
    </row>
    <row r="539" spans="1:7" x14ac:dyDescent="0.25">
      <c r="A539" s="89"/>
      <c r="B539" s="191"/>
      <c r="E539" s="94"/>
      <c r="F539" s="94"/>
      <c r="G539" s="94"/>
    </row>
    <row r="540" spans="1:7" x14ac:dyDescent="0.25">
      <c r="A540" s="89"/>
      <c r="B540" s="191"/>
      <c r="E540" s="94"/>
      <c r="F540" s="94"/>
      <c r="G540" s="94"/>
    </row>
    <row r="541" spans="1:7" x14ac:dyDescent="0.25">
      <c r="A541" s="89"/>
      <c r="B541" s="191"/>
      <c r="E541" s="94"/>
      <c r="F541" s="94"/>
      <c r="G541" s="94"/>
    </row>
    <row r="542" spans="1:7" x14ac:dyDescent="0.25">
      <c r="A542" s="89"/>
      <c r="B542" s="191"/>
      <c r="E542" s="94"/>
      <c r="F542" s="94"/>
      <c r="G542" s="94"/>
    </row>
    <row r="543" spans="1:7" x14ac:dyDescent="0.25">
      <c r="A543" s="89"/>
      <c r="B543" s="191"/>
      <c r="E543" s="94"/>
      <c r="F543" s="94"/>
      <c r="G543" s="94"/>
    </row>
    <row r="544" spans="1:7" x14ac:dyDescent="0.25">
      <c r="A544" s="89"/>
      <c r="B544" s="191"/>
      <c r="E544" s="94"/>
      <c r="F544" s="94"/>
      <c r="G544" s="94"/>
    </row>
    <row r="545" spans="1:7" x14ac:dyDescent="0.25">
      <c r="A545" s="89"/>
      <c r="B545" s="191"/>
      <c r="E545" s="94"/>
      <c r="F545" s="94"/>
      <c r="G545" s="94"/>
    </row>
    <row r="546" spans="1:7" x14ac:dyDescent="0.25">
      <c r="A546" s="89"/>
      <c r="B546" s="191"/>
      <c r="E546" s="94"/>
      <c r="F546" s="94"/>
      <c r="G546" s="94"/>
    </row>
    <row r="547" spans="1:7" x14ac:dyDescent="0.25">
      <c r="A547" s="89"/>
      <c r="B547" s="191"/>
      <c r="E547" s="94"/>
      <c r="F547" s="94"/>
      <c r="G547" s="94"/>
    </row>
    <row r="548" spans="1:7" x14ac:dyDescent="0.25">
      <c r="A548" s="89"/>
      <c r="B548" s="191"/>
      <c r="E548" s="94"/>
      <c r="F548" s="94"/>
      <c r="G548" s="94"/>
    </row>
    <row r="549" spans="1:7" x14ac:dyDescent="0.25">
      <c r="A549" s="89"/>
      <c r="B549" s="191"/>
      <c r="E549" s="94"/>
      <c r="F549" s="94"/>
      <c r="G549" s="94"/>
    </row>
    <row r="550" spans="1:7" x14ac:dyDescent="0.25">
      <c r="A550" s="89"/>
      <c r="B550" s="191"/>
      <c r="E550" s="94"/>
      <c r="F550" s="94"/>
      <c r="G550" s="94"/>
    </row>
    <row r="551" spans="1:7" x14ac:dyDescent="0.25">
      <c r="A551" s="89"/>
      <c r="B551" s="191"/>
      <c r="E551" s="94"/>
      <c r="F551" s="94"/>
      <c r="G551" s="94"/>
    </row>
    <row r="552" spans="1:7" x14ac:dyDescent="0.25">
      <c r="A552" s="89"/>
      <c r="B552" s="191"/>
      <c r="E552" s="94"/>
      <c r="F552" s="94"/>
      <c r="G552" s="94"/>
    </row>
    <row r="553" spans="1:7" x14ac:dyDescent="0.25">
      <c r="A553" s="89"/>
      <c r="B553" s="191"/>
      <c r="E553" s="94"/>
      <c r="F553" s="94"/>
      <c r="G553" s="94"/>
    </row>
    <row r="554" spans="1:7" x14ac:dyDescent="0.25">
      <c r="A554" s="89"/>
      <c r="B554" s="191"/>
      <c r="E554" s="94"/>
      <c r="F554" s="94"/>
      <c r="G554" s="94"/>
    </row>
    <row r="555" spans="1:7" x14ac:dyDescent="0.25">
      <c r="A555" s="89"/>
      <c r="B555" s="191"/>
      <c r="E555" s="94"/>
      <c r="F555" s="94"/>
      <c r="G555" s="94"/>
    </row>
    <row r="556" spans="1:7" x14ac:dyDescent="0.25">
      <c r="A556" s="89"/>
      <c r="B556" s="191"/>
      <c r="E556" s="94"/>
      <c r="F556" s="94"/>
      <c r="G556" s="94"/>
    </row>
    <row r="557" spans="1:7" x14ac:dyDescent="0.25">
      <c r="A557" s="89"/>
      <c r="B557" s="191"/>
      <c r="E557" s="94"/>
      <c r="F557" s="94"/>
      <c r="G557" s="94"/>
    </row>
    <row r="558" spans="1:7" x14ac:dyDescent="0.25">
      <c r="A558" s="89"/>
      <c r="B558" s="191"/>
      <c r="E558" s="94"/>
      <c r="F558" s="94"/>
      <c r="G558" s="94"/>
    </row>
    <row r="559" spans="1:7" x14ac:dyDescent="0.25">
      <c r="A559" s="89"/>
      <c r="B559" s="191"/>
      <c r="E559" s="94"/>
      <c r="F559" s="94"/>
      <c r="G559" s="94"/>
    </row>
    <row r="560" spans="1:7" x14ac:dyDescent="0.25">
      <c r="A560" s="89"/>
      <c r="B560" s="191"/>
      <c r="E560" s="94"/>
      <c r="F560" s="94"/>
      <c r="G560" s="94"/>
    </row>
    <row r="561" spans="1:7" x14ac:dyDescent="0.25">
      <c r="A561" s="89"/>
      <c r="B561" s="191"/>
      <c r="E561" s="94"/>
      <c r="F561" s="94"/>
      <c r="G561" s="94"/>
    </row>
    <row r="562" spans="1:7" x14ac:dyDescent="0.25">
      <c r="A562" s="89"/>
      <c r="B562" s="191"/>
      <c r="E562" s="94"/>
      <c r="F562" s="94"/>
      <c r="G562" s="94"/>
    </row>
    <row r="563" spans="1:7" x14ac:dyDescent="0.25">
      <c r="A563" s="89"/>
      <c r="B563" s="191"/>
      <c r="E563" s="94"/>
      <c r="F563" s="94"/>
      <c r="G563" s="94"/>
    </row>
    <row r="564" spans="1:7" x14ac:dyDescent="0.25">
      <c r="A564" s="89"/>
      <c r="B564" s="191"/>
      <c r="E564" s="94"/>
      <c r="F564" s="94"/>
      <c r="G564" s="94"/>
    </row>
    <row r="565" spans="1:7" x14ac:dyDescent="0.25">
      <c r="A565" s="89"/>
      <c r="B565" s="191"/>
      <c r="E565" s="94"/>
      <c r="F565" s="94"/>
      <c r="G565" s="94"/>
    </row>
    <row r="566" spans="1:7" x14ac:dyDescent="0.25">
      <c r="A566" s="89"/>
      <c r="B566" s="191"/>
      <c r="E566" s="94"/>
      <c r="F566" s="94"/>
      <c r="G566" s="94"/>
    </row>
    <row r="567" spans="1:7" x14ac:dyDescent="0.25">
      <c r="A567" s="89"/>
      <c r="B567" s="191"/>
      <c r="E567" s="94"/>
      <c r="F567" s="94"/>
      <c r="G567" s="94"/>
    </row>
    <row r="568" spans="1:7" x14ac:dyDescent="0.25">
      <c r="A568" s="89"/>
      <c r="B568" s="191"/>
      <c r="E568" s="94"/>
      <c r="F568" s="94"/>
      <c r="G568" s="94"/>
    </row>
    <row r="569" spans="1:7" x14ac:dyDescent="0.25">
      <c r="A569" s="89"/>
      <c r="B569" s="191"/>
      <c r="E569" s="94"/>
      <c r="F569" s="94"/>
      <c r="G569" s="94"/>
    </row>
    <row r="570" spans="1:7" x14ac:dyDescent="0.25">
      <c r="A570" s="89"/>
      <c r="B570" s="191"/>
      <c r="E570" s="94"/>
      <c r="F570" s="94"/>
      <c r="G570" s="94"/>
    </row>
    <row r="571" spans="1:7" x14ac:dyDescent="0.25">
      <c r="A571" s="89"/>
      <c r="B571" s="191"/>
      <c r="E571" s="94"/>
      <c r="F571" s="94"/>
      <c r="G571" s="94"/>
    </row>
    <row r="572" spans="1:7" x14ac:dyDescent="0.25">
      <c r="A572" s="89"/>
      <c r="B572" s="191"/>
      <c r="E572" s="94"/>
      <c r="F572" s="94"/>
      <c r="G572" s="94"/>
    </row>
    <row r="573" spans="1:7" x14ac:dyDescent="0.25">
      <c r="A573" s="89"/>
      <c r="B573" s="191"/>
      <c r="E573" s="94"/>
      <c r="F573" s="94"/>
      <c r="G573" s="94"/>
    </row>
    <row r="574" spans="1:7" x14ac:dyDescent="0.25">
      <c r="A574" s="89"/>
      <c r="B574" s="191"/>
      <c r="E574" s="94"/>
      <c r="F574" s="94"/>
      <c r="G574" s="94"/>
    </row>
    <row r="575" spans="1:7" x14ac:dyDescent="0.25">
      <c r="A575" s="89"/>
      <c r="B575" s="191"/>
      <c r="E575" s="94"/>
      <c r="F575" s="94"/>
      <c r="G575" s="94"/>
    </row>
    <row r="576" spans="1:7" x14ac:dyDescent="0.25">
      <c r="A576" s="89"/>
      <c r="B576" s="191"/>
      <c r="E576" s="94"/>
      <c r="F576" s="94"/>
      <c r="G576" s="94"/>
    </row>
    <row r="577" spans="1:7" x14ac:dyDescent="0.25">
      <c r="A577" s="89"/>
      <c r="B577" s="191"/>
      <c r="E577" s="94"/>
      <c r="F577" s="94"/>
      <c r="G577" s="94"/>
    </row>
    <row r="578" spans="1:7" x14ac:dyDescent="0.25">
      <c r="A578" s="89"/>
      <c r="B578" s="191"/>
      <c r="E578" s="94"/>
      <c r="F578" s="94"/>
      <c r="G578" s="94"/>
    </row>
    <row r="579" spans="1:7" x14ac:dyDescent="0.25">
      <c r="A579" s="89"/>
      <c r="B579" s="191"/>
      <c r="E579" s="94"/>
      <c r="F579" s="94"/>
      <c r="G579" s="94"/>
    </row>
    <row r="580" spans="1:7" x14ac:dyDescent="0.25">
      <c r="A580" s="89"/>
      <c r="B580" s="191"/>
      <c r="E580" s="94"/>
      <c r="F580" s="94"/>
      <c r="G580" s="94"/>
    </row>
    <row r="581" spans="1:7" x14ac:dyDescent="0.25">
      <c r="A581" s="89"/>
      <c r="B581" s="191"/>
      <c r="E581" s="94"/>
      <c r="F581" s="94"/>
      <c r="G581" s="94"/>
    </row>
    <row r="582" spans="1:7" x14ac:dyDescent="0.25">
      <c r="A582" s="89"/>
      <c r="B582" s="191"/>
      <c r="E582" s="94"/>
      <c r="F582" s="94"/>
      <c r="G582" s="94"/>
    </row>
    <row r="583" spans="1:7" x14ac:dyDescent="0.25">
      <c r="A583" s="89"/>
      <c r="B583" s="191"/>
      <c r="E583" s="94"/>
      <c r="F583" s="94"/>
      <c r="G583" s="94"/>
    </row>
    <row r="584" spans="1:7" x14ac:dyDescent="0.25">
      <c r="A584" s="89"/>
      <c r="B584" s="191"/>
      <c r="E584" s="94"/>
      <c r="F584" s="94"/>
      <c r="G584" s="94"/>
    </row>
    <row r="585" spans="1:7" x14ac:dyDescent="0.25">
      <c r="A585" s="89"/>
      <c r="B585" s="191"/>
      <c r="E585" s="94"/>
      <c r="F585" s="94"/>
      <c r="G585" s="94"/>
    </row>
    <row r="586" spans="1:7" x14ac:dyDescent="0.25">
      <c r="A586" s="89"/>
      <c r="B586" s="191"/>
      <c r="E586" s="94"/>
      <c r="F586" s="94"/>
      <c r="G586" s="94"/>
    </row>
    <row r="587" spans="1:7" x14ac:dyDescent="0.25">
      <c r="A587" s="89"/>
      <c r="B587" s="191"/>
      <c r="E587" s="94"/>
      <c r="F587" s="94"/>
      <c r="G587" s="94"/>
    </row>
    <row r="588" spans="1:7" x14ac:dyDescent="0.25">
      <c r="A588" s="89"/>
      <c r="B588" s="191"/>
      <c r="E588" s="94"/>
      <c r="F588" s="94"/>
      <c r="G588" s="94"/>
    </row>
    <row r="589" spans="1:7" x14ac:dyDescent="0.25">
      <c r="A589" s="89"/>
      <c r="B589" s="191"/>
      <c r="E589" s="94"/>
      <c r="F589" s="94"/>
      <c r="G589" s="94"/>
    </row>
    <row r="590" spans="1:7" x14ac:dyDescent="0.25">
      <c r="A590" s="89"/>
      <c r="B590" s="191"/>
      <c r="E590" s="94"/>
      <c r="F590" s="94"/>
      <c r="G590" s="94"/>
    </row>
    <row r="591" spans="1:7" x14ac:dyDescent="0.25">
      <c r="A591" s="89"/>
      <c r="B591" s="191"/>
      <c r="E591" s="94"/>
      <c r="F591" s="94"/>
      <c r="G591" s="94"/>
    </row>
    <row r="592" spans="1:7" x14ac:dyDescent="0.25">
      <c r="A592" s="89"/>
      <c r="B592" s="191"/>
      <c r="E592" s="94"/>
      <c r="F592" s="94"/>
      <c r="G592" s="94"/>
    </row>
    <row r="593" spans="1:7" x14ac:dyDescent="0.25">
      <c r="A593" s="89"/>
      <c r="B593" s="191"/>
      <c r="E593" s="94"/>
      <c r="F593" s="94"/>
      <c r="G593" s="94"/>
    </row>
    <row r="594" spans="1:7" x14ac:dyDescent="0.25">
      <c r="A594" s="89"/>
      <c r="B594" s="191"/>
      <c r="E594" s="94"/>
      <c r="F594" s="94"/>
      <c r="G594" s="94"/>
    </row>
    <row r="595" spans="1:7" x14ac:dyDescent="0.25">
      <c r="A595" s="89"/>
      <c r="B595" s="191"/>
      <c r="E595" s="94"/>
      <c r="F595" s="94"/>
      <c r="G595" s="94"/>
    </row>
    <row r="596" spans="1:7" x14ac:dyDescent="0.25">
      <c r="A596" s="89"/>
      <c r="B596" s="191"/>
      <c r="E596" s="94"/>
      <c r="F596" s="94"/>
      <c r="G596" s="94"/>
    </row>
    <row r="597" spans="1:7" x14ac:dyDescent="0.25">
      <c r="A597" s="89"/>
      <c r="B597" s="191"/>
      <c r="E597" s="94"/>
      <c r="F597" s="94"/>
      <c r="G597" s="94"/>
    </row>
    <row r="598" spans="1:7" x14ac:dyDescent="0.25">
      <c r="A598" s="89"/>
      <c r="B598" s="191"/>
      <c r="E598" s="94"/>
      <c r="F598" s="94"/>
      <c r="G598" s="94"/>
    </row>
    <row r="599" spans="1:7" x14ac:dyDescent="0.25">
      <c r="A599" s="89"/>
      <c r="B599" s="191"/>
      <c r="E599" s="94"/>
      <c r="F599" s="94"/>
      <c r="G599" s="94"/>
    </row>
    <row r="600" spans="1:7" x14ac:dyDescent="0.25">
      <c r="A600" s="89"/>
      <c r="B600" s="191"/>
      <c r="E600" s="94"/>
      <c r="F600" s="94"/>
      <c r="G600" s="94"/>
    </row>
    <row r="601" spans="1:7" x14ac:dyDescent="0.25">
      <c r="A601" s="89"/>
      <c r="B601" s="191"/>
      <c r="E601" s="94"/>
      <c r="F601" s="94"/>
      <c r="G601" s="94"/>
    </row>
    <row r="602" spans="1:7" x14ac:dyDescent="0.25">
      <c r="A602" s="89"/>
      <c r="B602" s="191"/>
      <c r="E602" s="94"/>
      <c r="F602" s="94"/>
      <c r="G602" s="94"/>
    </row>
    <row r="603" spans="1:7" x14ac:dyDescent="0.25">
      <c r="A603" s="89"/>
      <c r="B603" s="191"/>
      <c r="E603" s="94"/>
      <c r="F603" s="94"/>
      <c r="G603" s="94"/>
    </row>
    <row r="604" spans="1:7" x14ac:dyDescent="0.25">
      <c r="A604" s="89"/>
      <c r="B604" s="191"/>
      <c r="E604" s="94"/>
      <c r="F604" s="94"/>
      <c r="G604" s="94"/>
    </row>
    <row r="605" spans="1:7" x14ac:dyDescent="0.25">
      <c r="A605" s="89"/>
      <c r="B605" s="191"/>
      <c r="E605" s="94"/>
      <c r="F605" s="94"/>
      <c r="G605" s="94"/>
    </row>
    <row r="606" spans="1:7" x14ac:dyDescent="0.25">
      <c r="A606" s="89"/>
      <c r="B606" s="191"/>
      <c r="E606" s="94"/>
      <c r="F606" s="94"/>
      <c r="G606" s="94"/>
    </row>
    <row r="607" spans="1:7" x14ac:dyDescent="0.25">
      <c r="A607" s="89"/>
      <c r="B607" s="191"/>
      <c r="E607" s="94"/>
      <c r="F607" s="94"/>
      <c r="G607" s="94"/>
    </row>
    <row r="608" spans="1:7" x14ac:dyDescent="0.25">
      <c r="A608" s="89"/>
      <c r="B608" s="191"/>
      <c r="E608" s="94"/>
      <c r="F608" s="94"/>
      <c r="G608" s="94"/>
    </row>
    <row r="609" spans="1:7" x14ac:dyDescent="0.25">
      <c r="A609" s="89"/>
      <c r="B609" s="191"/>
      <c r="E609" s="94"/>
      <c r="F609" s="94"/>
      <c r="G609" s="94"/>
    </row>
    <row r="610" spans="1:7" x14ac:dyDescent="0.25">
      <c r="A610" s="89"/>
      <c r="B610" s="191"/>
      <c r="E610" s="94"/>
      <c r="F610" s="94"/>
      <c r="G610" s="94"/>
    </row>
    <row r="611" spans="1:7" x14ac:dyDescent="0.25">
      <c r="A611" s="89"/>
      <c r="B611" s="191"/>
      <c r="E611" s="94"/>
      <c r="F611" s="94"/>
      <c r="G611" s="94"/>
    </row>
    <row r="612" spans="1:7" x14ac:dyDescent="0.25">
      <c r="A612" s="89"/>
      <c r="B612" s="191"/>
      <c r="E612" s="94"/>
      <c r="F612" s="94"/>
      <c r="G612" s="94"/>
    </row>
    <row r="613" spans="1:7" x14ac:dyDescent="0.25">
      <c r="A613" s="89"/>
      <c r="B613" s="191"/>
      <c r="E613" s="94"/>
      <c r="F613" s="94"/>
      <c r="G613" s="94"/>
    </row>
    <row r="614" spans="1:7" x14ac:dyDescent="0.25">
      <c r="A614" s="89"/>
      <c r="B614" s="191"/>
      <c r="E614" s="94"/>
      <c r="F614" s="94"/>
      <c r="G614" s="94"/>
    </row>
    <row r="615" spans="1:7" x14ac:dyDescent="0.25">
      <c r="A615" s="89"/>
      <c r="B615" s="191"/>
      <c r="E615" s="94"/>
      <c r="F615" s="94"/>
      <c r="G615" s="94"/>
    </row>
    <row r="616" spans="1:7" x14ac:dyDescent="0.25">
      <c r="A616" s="89"/>
      <c r="B616" s="191"/>
      <c r="E616" s="94"/>
      <c r="F616" s="94"/>
      <c r="G616" s="94"/>
    </row>
    <row r="617" spans="1:7" x14ac:dyDescent="0.25">
      <c r="A617" s="89"/>
      <c r="B617" s="191"/>
      <c r="E617" s="94"/>
      <c r="F617" s="94"/>
      <c r="G617" s="94"/>
    </row>
    <row r="618" spans="1:7" x14ac:dyDescent="0.25">
      <c r="A618" s="89"/>
      <c r="B618" s="191"/>
      <c r="E618" s="94"/>
      <c r="F618" s="94"/>
      <c r="G618" s="94"/>
    </row>
    <row r="619" spans="1:7" x14ac:dyDescent="0.25">
      <c r="A619" s="89"/>
      <c r="B619" s="191"/>
      <c r="E619" s="94"/>
      <c r="F619" s="94"/>
      <c r="G619" s="94"/>
    </row>
    <row r="620" spans="1:7" x14ac:dyDescent="0.25">
      <c r="A620" s="89"/>
      <c r="B620" s="191"/>
      <c r="E620" s="94"/>
      <c r="F620" s="94"/>
      <c r="G620" s="94"/>
    </row>
    <row r="621" spans="1:7" x14ac:dyDescent="0.25">
      <c r="A621" s="89"/>
      <c r="B621" s="191"/>
      <c r="E621" s="94"/>
      <c r="F621" s="94"/>
      <c r="G621" s="94"/>
    </row>
    <row r="622" spans="1:7" x14ac:dyDescent="0.25">
      <c r="A622" s="89"/>
      <c r="B622" s="191"/>
      <c r="E622" s="94"/>
      <c r="F622" s="94"/>
      <c r="G622" s="94"/>
    </row>
    <row r="623" spans="1:7" x14ac:dyDescent="0.25">
      <c r="A623" s="89"/>
      <c r="B623" s="191"/>
      <c r="E623" s="94"/>
      <c r="F623" s="94"/>
      <c r="G623" s="94"/>
    </row>
    <row r="624" spans="1:7" x14ac:dyDescent="0.25">
      <c r="A624" s="89"/>
      <c r="B624" s="191"/>
      <c r="E624" s="94"/>
      <c r="F624" s="94"/>
      <c r="G624" s="94"/>
    </row>
    <row r="625" spans="1:7" x14ac:dyDescent="0.25">
      <c r="A625" s="89"/>
      <c r="B625" s="191"/>
      <c r="E625" s="94"/>
      <c r="F625" s="94"/>
      <c r="G625" s="94"/>
    </row>
    <row r="626" spans="1:7" x14ac:dyDescent="0.25">
      <c r="A626" s="89"/>
      <c r="B626" s="191"/>
      <c r="E626" s="94"/>
      <c r="F626" s="94"/>
      <c r="G626" s="94"/>
    </row>
    <row r="627" spans="1:7" x14ac:dyDescent="0.25">
      <c r="A627" s="89"/>
      <c r="B627" s="191"/>
      <c r="E627" s="94"/>
      <c r="F627" s="94"/>
      <c r="G627" s="94"/>
    </row>
    <row r="628" spans="1:7" x14ac:dyDescent="0.25">
      <c r="A628" s="89"/>
      <c r="B628" s="191"/>
      <c r="E628" s="94"/>
      <c r="F628" s="94"/>
      <c r="G628" s="94"/>
    </row>
    <row r="629" spans="1:7" x14ac:dyDescent="0.25">
      <c r="A629" s="89"/>
      <c r="B629" s="191"/>
      <c r="E629" s="94"/>
      <c r="F629" s="94"/>
      <c r="G629" s="94"/>
    </row>
    <row r="630" spans="1:7" x14ac:dyDescent="0.25">
      <c r="A630" s="89"/>
      <c r="B630" s="191"/>
      <c r="E630" s="94"/>
      <c r="F630" s="94"/>
      <c r="G630" s="94"/>
    </row>
    <row r="631" spans="1:7" x14ac:dyDescent="0.25">
      <c r="A631" s="89"/>
      <c r="B631" s="191"/>
      <c r="E631" s="94"/>
      <c r="F631" s="94"/>
      <c r="G631" s="94"/>
    </row>
    <row r="632" spans="1:7" x14ac:dyDescent="0.25">
      <c r="A632" s="89"/>
      <c r="B632" s="191"/>
      <c r="E632" s="94"/>
      <c r="F632" s="94"/>
      <c r="G632" s="94"/>
    </row>
    <row r="633" spans="1:7" x14ac:dyDescent="0.25">
      <c r="A633" s="89"/>
      <c r="B633" s="191"/>
      <c r="E633" s="94"/>
      <c r="F633" s="94"/>
      <c r="G633" s="94"/>
    </row>
    <row r="634" spans="1:7" x14ac:dyDescent="0.25">
      <c r="A634" s="89"/>
      <c r="B634" s="191"/>
      <c r="E634" s="94"/>
      <c r="F634" s="94"/>
      <c r="G634" s="94"/>
    </row>
    <row r="635" spans="1:7" x14ac:dyDescent="0.25">
      <c r="A635" s="89"/>
      <c r="B635" s="191"/>
      <c r="E635" s="94"/>
      <c r="F635" s="94"/>
      <c r="G635" s="94"/>
    </row>
    <row r="636" spans="1:7" x14ac:dyDescent="0.25">
      <c r="A636" s="89"/>
      <c r="B636" s="191"/>
      <c r="E636" s="94"/>
      <c r="F636" s="94"/>
      <c r="G636" s="94"/>
    </row>
    <row r="637" spans="1:7" x14ac:dyDescent="0.25">
      <c r="A637" s="89"/>
      <c r="B637" s="191"/>
      <c r="E637" s="94"/>
      <c r="F637" s="94"/>
      <c r="G637" s="94"/>
    </row>
    <row r="638" spans="1:7" x14ac:dyDescent="0.25">
      <c r="A638" s="89"/>
      <c r="B638" s="191"/>
      <c r="E638" s="94"/>
      <c r="F638" s="94"/>
      <c r="G638" s="94"/>
    </row>
    <row r="639" spans="1:7" x14ac:dyDescent="0.25">
      <c r="A639" s="89"/>
      <c r="B639" s="191"/>
      <c r="E639" s="94"/>
      <c r="F639" s="94"/>
      <c r="G639" s="94"/>
    </row>
    <row r="640" spans="1:7" x14ac:dyDescent="0.25">
      <c r="A640" s="89"/>
      <c r="B640" s="191"/>
      <c r="E640" s="94"/>
      <c r="F640" s="94"/>
      <c r="G640" s="94"/>
    </row>
    <row r="641" spans="1:7" x14ac:dyDescent="0.25">
      <c r="A641" s="89"/>
      <c r="B641" s="191"/>
      <c r="E641" s="94"/>
      <c r="F641" s="94"/>
      <c r="G641" s="94"/>
    </row>
    <row r="642" spans="1:7" x14ac:dyDescent="0.25">
      <c r="A642" s="89"/>
      <c r="B642" s="191"/>
      <c r="E642" s="94"/>
      <c r="F642" s="94"/>
      <c r="G642" s="94"/>
    </row>
    <row r="643" spans="1:7" x14ac:dyDescent="0.25">
      <c r="A643" s="89"/>
      <c r="B643" s="191"/>
      <c r="E643" s="94"/>
      <c r="F643" s="94"/>
      <c r="G643" s="94"/>
    </row>
    <row r="644" spans="1:7" x14ac:dyDescent="0.25">
      <c r="A644" s="89"/>
      <c r="B644" s="191"/>
      <c r="E644" s="94"/>
      <c r="F644" s="94"/>
      <c r="G644" s="94"/>
    </row>
    <row r="645" spans="1:7" x14ac:dyDescent="0.25">
      <c r="A645" s="89"/>
      <c r="B645" s="191"/>
      <c r="E645" s="94"/>
      <c r="F645" s="94"/>
      <c r="G645" s="94"/>
    </row>
    <row r="646" spans="1:7" x14ac:dyDescent="0.25">
      <c r="A646" s="89"/>
      <c r="B646" s="191"/>
      <c r="E646" s="94"/>
      <c r="F646" s="94"/>
      <c r="G646" s="94"/>
    </row>
    <row r="647" spans="1:7" x14ac:dyDescent="0.25">
      <c r="A647" s="89"/>
      <c r="B647" s="191"/>
      <c r="E647" s="94"/>
      <c r="F647" s="94"/>
      <c r="G647" s="94"/>
    </row>
    <row r="648" spans="1:7" x14ac:dyDescent="0.25">
      <c r="A648" s="89"/>
      <c r="B648" s="191"/>
      <c r="E648" s="94"/>
      <c r="F648" s="94"/>
      <c r="G648" s="94"/>
    </row>
    <row r="649" spans="1:7" x14ac:dyDescent="0.25">
      <c r="A649" s="89"/>
      <c r="B649" s="191"/>
      <c r="E649" s="94"/>
      <c r="F649" s="94"/>
      <c r="G649" s="94"/>
    </row>
    <row r="650" spans="1:7" x14ac:dyDescent="0.25">
      <c r="A650" s="89"/>
      <c r="B650" s="191"/>
      <c r="E650" s="94"/>
      <c r="F650" s="94"/>
      <c r="G650" s="94"/>
    </row>
    <row r="651" spans="1:7" x14ac:dyDescent="0.25">
      <c r="A651" s="89"/>
      <c r="B651" s="191"/>
      <c r="E651" s="94"/>
      <c r="F651" s="94"/>
      <c r="G651" s="94"/>
    </row>
    <row r="652" spans="1:7" x14ac:dyDescent="0.25">
      <c r="A652" s="89"/>
      <c r="B652" s="191"/>
      <c r="E652" s="94"/>
      <c r="F652" s="94"/>
      <c r="G652" s="94"/>
    </row>
    <row r="653" spans="1:7" x14ac:dyDescent="0.25">
      <c r="A653" s="89"/>
      <c r="B653" s="191"/>
      <c r="E653" s="94"/>
      <c r="F653" s="94"/>
      <c r="G653" s="94"/>
    </row>
    <row r="654" spans="1:7" x14ac:dyDescent="0.25">
      <c r="A654" s="89"/>
      <c r="B654" s="191"/>
      <c r="E654" s="94"/>
      <c r="F654" s="94"/>
      <c r="G654" s="94"/>
    </row>
    <row r="655" spans="1:7" x14ac:dyDescent="0.25">
      <c r="A655" s="89"/>
      <c r="B655" s="191"/>
      <c r="E655" s="94"/>
      <c r="F655" s="94"/>
      <c r="G655" s="94"/>
    </row>
    <row r="656" spans="1:7" x14ac:dyDescent="0.25">
      <c r="A656" s="89"/>
      <c r="B656" s="191"/>
      <c r="E656" s="94"/>
      <c r="F656" s="94"/>
      <c r="G656" s="94"/>
    </row>
    <row r="657" spans="1:7" x14ac:dyDescent="0.25">
      <c r="A657" s="89"/>
      <c r="B657" s="191"/>
      <c r="E657" s="94"/>
      <c r="F657" s="94"/>
      <c r="G657" s="94"/>
    </row>
    <row r="658" spans="1:7" x14ac:dyDescent="0.25">
      <c r="A658" s="89"/>
      <c r="B658" s="191"/>
      <c r="E658" s="94"/>
      <c r="F658" s="94"/>
      <c r="G658" s="94"/>
    </row>
    <row r="659" spans="1:7" x14ac:dyDescent="0.25">
      <c r="A659" s="89"/>
      <c r="B659" s="191"/>
      <c r="E659" s="94"/>
      <c r="F659" s="94"/>
      <c r="G659" s="94"/>
    </row>
    <row r="660" spans="1:7" x14ac:dyDescent="0.25">
      <c r="A660" s="89"/>
      <c r="B660" s="191"/>
      <c r="E660" s="94"/>
      <c r="F660" s="94"/>
      <c r="G660" s="94"/>
    </row>
    <row r="661" spans="1:7" x14ac:dyDescent="0.25">
      <c r="A661" s="89"/>
      <c r="B661" s="191"/>
      <c r="E661" s="94"/>
      <c r="F661" s="94"/>
      <c r="G661" s="94"/>
    </row>
    <row r="662" spans="1:7" x14ac:dyDescent="0.25">
      <c r="A662" s="89"/>
      <c r="B662" s="191"/>
      <c r="E662" s="94"/>
      <c r="F662" s="94"/>
      <c r="G662" s="94"/>
    </row>
    <row r="663" spans="1:7" x14ac:dyDescent="0.25">
      <c r="A663" s="89"/>
      <c r="B663" s="191"/>
      <c r="E663" s="94"/>
      <c r="F663" s="94"/>
      <c r="G663" s="94"/>
    </row>
    <row r="664" spans="1:7" x14ac:dyDescent="0.25">
      <c r="A664" s="89"/>
      <c r="B664" s="191"/>
      <c r="E664" s="94"/>
      <c r="F664" s="94"/>
      <c r="G664" s="94"/>
    </row>
    <row r="665" spans="1:7" x14ac:dyDescent="0.25">
      <c r="A665" s="89"/>
      <c r="B665" s="191"/>
      <c r="E665" s="94"/>
      <c r="F665" s="94"/>
      <c r="G665" s="94"/>
    </row>
    <row r="666" spans="1:7" x14ac:dyDescent="0.25">
      <c r="A666" s="89"/>
      <c r="B666" s="191"/>
      <c r="E666" s="94"/>
      <c r="F666" s="94"/>
      <c r="G666" s="94"/>
    </row>
    <row r="667" spans="1:7" x14ac:dyDescent="0.25">
      <c r="A667" s="89"/>
      <c r="B667" s="191"/>
      <c r="E667" s="94"/>
      <c r="F667" s="94"/>
      <c r="G667" s="94"/>
    </row>
    <row r="668" spans="1:7" x14ac:dyDescent="0.25">
      <c r="A668" s="89"/>
      <c r="B668" s="191"/>
      <c r="E668" s="94"/>
      <c r="F668" s="94"/>
      <c r="G668" s="94"/>
    </row>
    <row r="669" spans="1:7" x14ac:dyDescent="0.25">
      <c r="A669" s="89"/>
      <c r="B669" s="191"/>
      <c r="E669" s="94"/>
      <c r="F669" s="94"/>
      <c r="G669" s="94"/>
    </row>
    <row r="670" spans="1:7" x14ac:dyDescent="0.25">
      <c r="A670" s="89"/>
      <c r="B670" s="191"/>
      <c r="E670" s="94"/>
      <c r="F670" s="94"/>
      <c r="G670" s="94"/>
    </row>
    <row r="671" spans="1:7" x14ac:dyDescent="0.25">
      <c r="A671" s="89"/>
      <c r="B671" s="191"/>
      <c r="E671" s="94"/>
      <c r="F671" s="94"/>
      <c r="G671" s="94"/>
    </row>
    <row r="672" spans="1:7" x14ac:dyDescent="0.25">
      <c r="A672" s="89"/>
      <c r="B672" s="191"/>
      <c r="E672" s="94"/>
      <c r="F672" s="94"/>
      <c r="G672" s="94"/>
    </row>
    <row r="673" spans="1:7" x14ac:dyDescent="0.25">
      <c r="A673" s="89"/>
      <c r="B673" s="191"/>
      <c r="E673" s="94"/>
      <c r="F673" s="94"/>
      <c r="G673" s="94"/>
    </row>
    <row r="674" spans="1:7" x14ac:dyDescent="0.25">
      <c r="A674" s="89"/>
      <c r="B674" s="191"/>
      <c r="E674" s="94"/>
      <c r="F674" s="94"/>
      <c r="G674" s="94"/>
    </row>
    <row r="675" spans="1:7" x14ac:dyDescent="0.25">
      <c r="A675" s="89"/>
      <c r="B675" s="191"/>
      <c r="E675" s="94"/>
      <c r="F675" s="94"/>
      <c r="G675" s="94"/>
    </row>
    <row r="676" spans="1:7" x14ac:dyDescent="0.25">
      <c r="A676" s="89"/>
      <c r="B676" s="191"/>
      <c r="E676" s="94"/>
      <c r="F676" s="94"/>
      <c r="G676" s="94"/>
    </row>
    <row r="677" spans="1:7" x14ac:dyDescent="0.25">
      <c r="A677" s="89"/>
      <c r="B677" s="191"/>
      <c r="E677" s="94"/>
      <c r="F677" s="94"/>
      <c r="G677" s="94"/>
    </row>
    <row r="678" spans="1:7" x14ac:dyDescent="0.25">
      <c r="A678" s="89"/>
      <c r="B678" s="191"/>
      <c r="E678" s="94"/>
      <c r="F678" s="94"/>
      <c r="G678" s="94"/>
    </row>
    <row r="679" spans="1:7" x14ac:dyDescent="0.25">
      <c r="A679" s="89"/>
      <c r="B679" s="191"/>
      <c r="E679" s="94"/>
      <c r="F679" s="94"/>
      <c r="G679" s="94"/>
    </row>
    <row r="680" spans="1:7" x14ac:dyDescent="0.25">
      <c r="A680" s="89"/>
      <c r="B680" s="191"/>
      <c r="E680" s="94"/>
      <c r="F680" s="94"/>
      <c r="G680" s="94"/>
    </row>
    <row r="681" spans="1:7" x14ac:dyDescent="0.25">
      <c r="A681" s="89"/>
      <c r="B681" s="191"/>
      <c r="E681" s="94"/>
      <c r="F681" s="94"/>
      <c r="G681" s="94"/>
    </row>
    <row r="682" spans="1:7" x14ac:dyDescent="0.25">
      <c r="A682" s="89"/>
      <c r="B682" s="191"/>
      <c r="E682" s="94"/>
      <c r="F682" s="94"/>
      <c r="G682" s="94"/>
    </row>
    <row r="683" spans="1:7" x14ac:dyDescent="0.25">
      <c r="A683" s="89"/>
      <c r="B683" s="191"/>
      <c r="E683" s="94"/>
      <c r="F683" s="94"/>
      <c r="G683" s="94"/>
    </row>
    <row r="684" spans="1:7" x14ac:dyDescent="0.25">
      <c r="A684" s="89"/>
      <c r="B684" s="191"/>
      <c r="E684" s="94"/>
      <c r="F684" s="94"/>
      <c r="G684" s="94"/>
    </row>
    <row r="685" spans="1:7" x14ac:dyDescent="0.25">
      <c r="A685" s="89"/>
      <c r="B685" s="191"/>
      <c r="E685" s="94"/>
      <c r="F685" s="94"/>
      <c r="G685" s="94"/>
    </row>
    <row r="686" spans="1:7" x14ac:dyDescent="0.25">
      <c r="A686" s="89"/>
      <c r="B686" s="191"/>
      <c r="E686" s="94"/>
      <c r="F686" s="94"/>
      <c r="G686" s="94"/>
    </row>
    <row r="687" spans="1:7" x14ac:dyDescent="0.25">
      <c r="A687" s="89"/>
      <c r="B687" s="191"/>
      <c r="E687" s="94"/>
      <c r="F687" s="94"/>
      <c r="G687" s="94"/>
    </row>
    <row r="688" spans="1:7" x14ac:dyDescent="0.25">
      <c r="A688" s="89"/>
      <c r="B688" s="191"/>
      <c r="E688" s="94"/>
      <c r="F688" s="94"/>
      <c r="G688" s="94"/>
    </row>
    <row r="689" spans="1:7" x14ac:dyDescent="0.25">
      <c r="A689" s="89"/>
      <c r="B689" s="191"/>
      <c r="E689" s="94"/>
      <c r="F689" s="94"/>
      <c r="G689" s="94"/>
    </row>
    <row r="690" spans="1:7" x14ac:dyDescent="0.25">
      <c r="A690" s="89"/>
      <c r="B690" s="191"/>
      <c r="E690" s="94"/>
      <c r="F690" s="94"/>
      <c r="G690" s="94"/>
    </row>
    <row r="691" spans="1:7" x14ac:dyDescent="0.25">
      <c r="A691" s="89"/>
      <c r="B691" s="191"/>
      <c r="E691" s="94"/>
      <c r="F691" s="94"/>
      <c r="G691" s="94"/>
    </row>
    <row r="692" spans="1:7" x14ac:dyDescent="0.25">
      <c r="A692" s="89"/>
      <c r="B692" s="191"/>
      <c r="E692" s="94"/>
      <c r="F692" s="94"/>
      <c r="G692" s="94"/>
    </row>
    <row r="693" spans="1:7" x14ac:dyDescent="0.25">
      <c r="A693" s="89"/>
      <c r="B693" s="191"/>
      <c r="E693" s="94"/>
      <c r="F693" s="94"/>
      <c r="G693" s="94"/>
    </row>
    <row r="694" spans="1:7" x14ac:dyDescent="0.25">
      <c r="A694" s="89"/>
      <c r="B694" s="191"/>
      <c r="E694" s="94"/>
      <c r="F694" s="94"/>
      <c r="G694" s="94"/>
    </row>
    <row r="695" spans="1:7" x14ac:dyDescent="0.25">
      <c r="A695" s="89"/>
      <c r="B695" s="191"/>
      <c r="E695" s="94"/>
      <c r="F695" s="94"/>
      <c r="G695" s="94"/>
    </row>
    <row r="696" spans="1:7" x14ac:dyDescent="0.25">
      <c r="A696" s="89"/>
      <c r="B696" s="191"/>
      <c r="E696" s="94"/>
      <c r="F696" s="94"/>
      <c r="G696" s="94"/>
    </row>
    <row r="697" spans="1:7" x14ac:dyDescent="0.25">
      <c r="A697" s="89"/>
      <c r="B697" s="191"/>
      <c r="E697" s="94"/>
      <c r="F697" s="94"/>
      <c r="G697" s="94"/>
    </row>
    <row r="698" spans="1:7" x14ac:dyDescent="0.25">
      <c r="A698" s="89"/>
      <c r="B698" s="191"/>
      <c r="E698" s="94"/>
      <c r="F698" s="94"/>
      <c r="G698" s="94"/>
    </row>
    <row r="699" spans="1:7" x14ac:dyDescent="0.25">
      <c r="A699" s="89"/>
      <c r="B699" s="191"/>
      <c r="E699" s="94"/>
      <c r="F699" s="94"/>
      <c r="G699" s="94"/>
    </row>
    <row r="700" spans="1:7" x14ac:dyDescent="0.25">
      <c r="A700" s="89"/>
      <c r="B700" s="191"/>
      <c r="E700" s="94"/>
      <c r="F700" s="94"/>
      <c r="G700" s="94"/>
    </row>
    <row r="701" spans="1:7" x14ac:dyDescent="0.25">
      <c r="A701" s="89"/>
      <c r="B701" s="191"/>
      <c r="E701" s="94"/>
      <c r="F701" s="94"/>
      <c r="G701" s="94"/>
    </row>
    <row r="702" spans="1:7" x14ac:dyDescent="0.25">
      <c r="A702" s="89"/>
      <c r="B702" s="191"/>
      <c r="E702" s="94"/>
      <c r="F702" s="94"/>
      <c r="G702" s="94"/>
    </row>
    <row r="703" spans="1:7" x14ac:dyDescent="0.25">
      <c r="A703" s="89"/>
      <c r="B703" s="191"/>
      <c r="E703" s="94"/>
      <c r="F703" s="94"/>
      <c r="G703" s="94"/>
    </row>
    <row r="704" spans="1:7" x14ac:dyDescent="0.25">
      <c r="A704" s="89"/>
      <c r="B704" s="191"/>
      <c r="E704" s="94"/>
      <c r="F704" s="94"/>
      <c r="G704" s="94"/>
    </row>
    <row r="705" spans="1:7" x14ac:dyDescent="0.25">
      <c r="A705" s="89"/>
      <c r="B705" s="191"/>
      <c r="E705" s="94"/>
      <c r="F705" s="94"/>
      <c r="G705" s="94"/>
    </row>
    <row r="706" spans="1:7" x14ac:dyDescent="0.25">
      <c r="A706" s="89"/>
      <c r="B706" s="191"/>
      <c r="E706" s="94"/>
      <c r="F706" s="94"/>
      <c r="G706" s="94"/>
    </row>
    <row r="707" spans="1:7" x14ac:dyDescent="0.25">
      <c r="A707" s="89"/>
      <c r="B707" s="191"/>
      <c r="E707" s="94"/>
      <c r="F707" s="94"/>
      <c r="G707" s="94"/>
    </row>
    <row r="708" spans="1:7" x14ac:dyDescent="0.25">
      <c r="A708" s="89"/>
      <c r="B708" s="191"/>
      <c r="E708" s="94"/>
      <c r="F708" s="94"/>
      <c r="G708" s="94"/>
    </row>
    <row r="709" spans="1:7" x14ac:dyDescent="0.25">
      <c r="A709" s="89"/>
      <c r="B709" s="191"/>
      <c r="E709" s="94"/>
      <c r="F709" s="94"/>
      <c r="G709" s="94"/>
    </row>
    <row r="710" spans="1:7" x14ac:dyDescent="0.25">
      <c r="A710" s="89"/>
      <c r="B710" s="191"/>
      <c r="E710" s="94"/>
      <c r="F710" s="94"/>
      <c r="G710" s="94"/>
    </row>
    <row r="711" spans="1:7" x14ac:dyDescent="0.25">
      <c r="A711" s="89"/>
      <c r="B711" s="191"/>
      <c r="E711" s="94"/>
      <c r="F711" s="94"/>
      <c r="G711" s="94"/>
    </row>
    <row r="712" spans="1:7" x14ac:dyDescent="0.25">
      <c r="A712" s="89"/>
      <c r="B712" s="191"/>
      <c r="E712" s="94"/>
      <c r="F712" s="94"/>
      <c r="G712" s="94"/>
    </row>
    <row r="713" spans="1:7" x14ac:dyDescent="0.25">
      <c r="A713" s="89"/>
      <c r="B713" s="191"/>
      <c r="E713" s="94"/>
      <c r="F713" s="94"/>
      <c r="G713" s="94"/>
    </row>
    <row r="714" spans="1:7" x14ac:dyDescent="0.25">
      <c r="A714" s="89"/>
      <c r="B714" s="191"/>
      <c r="E714" s="94"/>
      <c r="F714" s="94"/>
      <c r="G714" s="94"/>
    </row>
    <row r="715" spans="1:7" x14ac:dyDescent="0.25">
      <c r="A715" s="89"/>
      <c r="B715" s="191"/>
      <c r="E715" s="94"/>
      <c r="F715" s="94"/>
      <c r="G715" s="94"/>
    </row>
    <row r="716" spans="1:7" x14ac:dyDescent="0.25">
      <c r="A716" s="89"/>
      <c r="B716" s="191"/>
      <c r="E716" s="94"/>
      <c r="F716" s="94"/>
      <c r="G716" s="94"/>
    </row>
    <row r="717" spans="1:7" x14ac:dyDescent="0.25">
      <c r="A717" s="89"/>
      <c r="B717" s="191"/>
      <c r="E717" s="94"/>
      <c r="F717" s="94"/>
      <c r="G717" s="94"/>
    </row>
    <row r="718" spans="1:7" x14ac:dyDescent="0.25">
      <c r="A718" s="89"/>
      <c r="B718" s="191"/>
      <c r="E718" s="94"/>
      <c r="F718" s="94"/>
      <c r="G718" s="94"/>
    </row>
    <row r="719" spans="1:7" x14ac:dyDescent="0.25">
      <c r="A719" s="89"/>
      <c r="B719" s="191"/>
      <c r="E719" s="94"/>
      <c r="F719" s="94"/>
      <c r="G719" s="94"/>
    </row>
    <row r="720" spans="1:7" x14ac:dyDescent="0.25">
      <c r="A720" s="89"/>
      <c r="B720" s="191"/>
      <c r="E720" s="94"/>
      <c r="F720" s="94"/>
      <c r="G720" s="94"/>
    </row>
    <row r="721" spans="1:7" x14ac:dyDescent="0.25">
      <c r="A721" s="89"/>
      <c r="B721" s="191"/>
      <c r="E721" s="94"/>
      <c r="F721" s="94"/>
      <c r="G721" s="94"/>
    </row>
    <row r="722" spans="1:7" x14ac:dyDescent="0.25">
      <c r="A722" s="89"/>
      <c r="B722" s="191"/>
      <c r="E722" s="94"/>
      <c r="F722" s="94"/>
      <c r="G722" s="94"/>
    </row>
    <row r="723" spans="1:7" x14ac:dyDescent="0.25">
      <c r="A723" s="89"/>
      <c r="B723" s="191"/>
      <c r="E723" s="94"/>
      <c r="F723" s="94"/>
      <c r="G723" s="94"/>
    </row>
    <row r="724" spans="1:7" x14ac:dyDescent="0.25">
      <c r="A724" s="89"/>
      <c r="B724" s="191"/>
      <c r="E724" s="94"/>
      <c r="F724" s="94"/>
      <c r="G724" s="94"/>
    </row>
    <row r="725" spans="1:7" x14ac:dyDescent="0.25">
      <c r="A725" s="89"/>
      <c r="B725" s="191"/>
      <c r="E725" s="94"/>
      <c r="F725" s="94"/>
      <c r="G725" s="94"/>
    </row>
    <row r="726" spans="1:7" x14ac:dyDescent="0.25">
      <c r="A726" s="89"/>
      <c r="B726" s="191"/>
      <c r="E726" s="94"/>
      <c r="F726" s="94"/>
      <c r="G726" s="94"/>
    </row>
    <row r="727" spans="1:7" x14ac:dyDescent="0.25">
      <c r="A727" s="89"/>
      <c r="B727" s="191"/>
      <c r="E727" s="94"/>
      <c r="F727" s="94"/>
      <c r="G727" s="94"/>
    </row>
    <row r="728" spans="1:7" x14ac:dyDescent="0.25">
      <c r="A728" s="89"/>
      <c r="B728" s="191"/>
      <c r="E728" s="94"/>
      <c r="F728" s="94"/>
      <c r="G728" s="94"/>
    </row>
    <row r="729" spans="1:7" x14ac:dyDescent="0.25">
      <c r="A729" s="89"/>
      <c r="B729" s="191"/>
      <c r="E729" s="94"/>
      <c r="F729" s="94"/>
      <c r="G729" s="94"/>
    </row>
    <row r="730" spans="1:7" x14ac:dyDescent="0.25">
      <c r="A730" s="89"/>
      <c r="B730" s="191"/>
      <c r="E730" s="94"/>
      <c r="F730" s="94"/>
      <c r="G730" s="94"/>
    </row>
    <row r="731" spans="1:7" x14ac:dyDescent="0.25">
      <c r="A731" s="89"/>
      <c r="B731" s="191"/>
      <c r="E731" s="94"/>
      <c r="F731" s="94"/>
      <c r="G731" s="94"/>
    </row>
    <row r="732" spans="1:7" x14ac:dyDescent="0.25">
      <c r="A732" s="89"/>
      <c r="B732" s="191"/>
      <c r="E732" s="94"/>
      <c r="F732" s="94"/>
      <c r="G732" s="94"/>
    </row>
    <row r="733" spans="1:7" x14ac:dyDescent="0.25">
      <c r="A733" s="89"/>
      <c r="B733" s="191"/>
      <c r="E733" s="94"/>
      <c r="F733" s="94"/>
      <c r="G733" s="94"/>
    </row>
    <row r="734" spans="1:7" x14ac:dyDescent="0.25">
      <c r="A734" s="89"/>
      <c r="B734" s="191"/>
      <c r="E734" s="94"/>
      <c r="F734" s="94"/>
      <c r="G734" s="94"/>
    </row>
    <row r="735" spans="1:7" x14ac:dyDescent="0.25">
      <c r="A735" s="89"/>
      <c r="B735" s="191"/>
      <c r="E735" s="94"/>
      <c r="F735" s="94"/>
      <c r="G735" s="94"/>
    </row>
    <row r="736" spans="1:7" x14ac:dyDescent="0.25">
      <c r="A736" s="89"/>
      <c r="B736" s="191"/>
      <c r="E736" s="94"/>
      <c r="F736" s="94"/>
      <c r="G736" s="94"/>
    </row>
    <row r="737" spans="1:7" x14ac:dyDescent="0.25">
      <c r="A737" s="89"/>
      <c r="B737" s="191"/>
      <c r="E737" s="94"/>
      <c r="F737" s="94"/>
      <c r="G737" s="94"/>
    </row>
    <row r="738" spans="1:7" x14ac:dyDescent="0.25">
      <c r="A738" s="89"/>
      <c r="B738" s="191"/>
      <c r="E738" s="94"/>
      <c r="F738" s="94"/>
      <c r="G738" s="94"/>
    </row>
    <row r="739" spans="1:7" x14ac:dyDescent="0.25">
      <c r="A739" s="89"/>
      <c r="B739" s="191"/>
      <c r="E739" s="94"/>
      <c r="F739" s="94"/>
      <c r="G739" s="94"/>
    </row>
    <row r="740" spans="1:7" x14ac:dyDescent="0.25">
      <c r="A740" s="89"/>
      <c r="B740" s="191"/>
      <c r="E740" s="94"/>
      <c r="F740" s="94"/>
      <c r="G740" s="94"/>
    </row>
    <row r="741" spans="1:7" x14ac:dyDescent="0.25">
      <c r="A741" s="89"/>
      <c r="B741" s="191"/>
      <c r="E741" s="94"/>
      <c r="F741" s="94"/>
      <c r="G741" s="94"/>
    </row>
    <row r="742" spans="1:7" x14ac:dyDescent="0.25">
      <c r="A742" s="89"/>
      <c r="B742" s="191"/>
      <c r="E742" s="94"/>
      <c r="F742" s="94"/>
      <c r="G742" s="94"/>
    </row>
    <row r="743" spans="1:7" x14ac:dyDescent="0.25">
      <c r="A743" s="89"/>
      <c r="B743" s="191"/>
      <c r="E743" s="94"/>
      <c r="F743" s="94"/>
      <c r="G743" s="94"/>
    </row>
    <row r="744" spans="1:7" x14ac:dyDescent="0.25">
      <c r="A744" s="89"/>
      <c r="B744" s="191"/>
      <c r="E744" s="94"/>
      <c r="F744" s="94"/>
      <c r="G744" s="94"/>
    </row>
    <row r="745" spans="1:7" x14ac:dyDescent="0.25">
      <c r="A745" s="89"/>
      <c r="B745" s="191"/>
      <c r="E745" s="94"/>
      <c r="F745" s="94"/>
      <c r="G745" s="94"/>
    </row>
    <row r="746" spans="1:7" x14ac:dyDescent="0.25">
      <c r="A746" s="89"/>
      <c r="B746" s="191"/>
      <c r="E746" s="94"/>
      <c r="F746" s="94"/>
      <c r="G746" s="94"/>
    </row>
    <row r="747" spans="1:7" x14ac:dyDescent="0.25">
      <c r="A747" s="89"/>
      <c r="B747" s="191"/>
      <c r="E747" s="94"/>
      <c r="F747" s="94"/>
      <c r="G747" s="94"/>
    </row>
    <row r="748" spans="1:7" x14ac:dyDescent="0.25">
      <c r="A748" s="89"/>
      <c r="B748" s="191"/>
      <c r="E748" s="94"/>
      <c r="F748" s="94"/>
      <c r="G748" s="94"/>
    </row>
    <row r="749" spans="1:7" x14ac:dyDescent="0.25">
      <c r="A749" s="89"/>
      <c r="B749" s="191"/>
      <c r="E749" s="94"/>
      <c r="F749" s="94"/>
      <c r="G749" s="94"/>
    </row>
    <row r="750" spans="1:7" x14ac:dyDescent="0.25">
      <c r="A750" s="89"/>
      <c r="B750" s="191"/>
      <c r="E750" s="94"/>
      <c r="F750" s="94"/>
      <c r="G750" s="94"/>
    </row>
    <row r="751" spans="1:7" x14ac:dyDescent="0.25">
      <c r="A751" s="89"/>
      <c r="B751" s="191"/>
      <c r="E751" s="94"/>
      <c r="F751" s="94"/>
      <c r="G751" s="94"/>
    </row>
    <row r="752" spans="1:7" x14ac:dyDescent="0.25">
      <c r="A752" s="89"/>
      <c r="B752" s="191"/>
      <c r="E752" s="94"/>
      <c r="F752" s="94"/>
      <c r="G752" s="94"/>
    </row>
    <row r="753" spans="1:7" x14ac:dyDescent="0.25">
      <c r="A753" s="89"/>
      <c r="B753" s="191"/>
      <c r="E753" s="94"/>
      <c r="F753" s="94"/>
      <c r="G753" s="94"/>
    </row>
    <row r="754" spans="1:7" x14ac:dyDescent="0.25">
      <c r="A754" s="89"/>
      <c r="B754" s="191"/>
      <c r="E754" s="94"/>
      <c r="F754" s="94"/>
      <c r="G754" s="94"/>
    </row>
    <row r="755" spans="1:7" x14ac:dyDescent="0.25">
      <c r="A755" s="89"/>
      <c r="B755" s="191"/>
      <c r="E755" s="94"/>
      <c r="F755" s="94"/>
      <c r="G755" s="94"/>
    </row>
    <row r="756" spans="1:7" x14ac:dyDescent="0.25">
      <c r="A756" s="89"/>
      <c r="B756" s="191"/>
      <c r="E756" s="94"/>
      <c r="F756" s="94"/>
      <c r="G756" s="94"/>
    </row>
    <row r="757" spans="1:7" x14ac:dyDescent="0.25">
      <c r="A757" s="89"/>
      <c r="B757" s="191"/>
      <c r="E757" s="94"/>
      <c r="F757" s="94"/>
      <c r="G757" s="94"/>
    </row>
    <row r="758" spans="1:7" x14ac:dyDescent="0.25">
      <c r="A758" s="89"/>
      <c r="B758" s="191"/>
      <c r="E758" s="94"/>
      <c r="F758" s="94"/>
      <c r="G758" s="94"/>
    </row>
    <row r="759" spans="1:7" x14ac:dyDescent="0.25">
      <c r="A759" s="89"/>
      <c r="B759" s="191"/>
      <c r="E759" s="94"/>
      <c r="F759" s="94"/>
      <c r="G759" s="94"/>
    </row>
    <row r="760" spans="1:7" x14ac:dyDescent="0.25">
      <c r="A760" s="89"/>
      <c r="B760" s="191"/>
      <c r="E760" s="94"/>
      <c r="F760" s="94"/>
      <c r="G760" s="94"/>
    </row>
    <row r="761" spans="1:7" x14ac:dyDescent="0.25">
      <c r="A761" s="89"/>
      <c r="B761" s="191"/>
      <c r="E761" s="94"/>
      <c r="F761" s="94"/>
      <c r="G761" s="94"/>
    </row>
    <row r="762" spans="1:7" x14ac:dyDescent="0.25">
      <c r="A762" s="89"/>
      <c r="B762" s="191"/>
      <c r="E762" s="94"/>
      <c r="F762" s="94"/>
      <c r="G762" s="94"/>
    </row>
    <row r="763" spans="1:7" x14ac:dyDescent="0.25">
      <c r="A763" s="89"/>
      <c r="B763" s="191"/>
      <c r="E763" s="94"/>
      <c r="F763" s="94"/>
      <c r="G763" s="94"/>
    </row>
    <row r="764" spans="1:7" x14ac:dyDescent="0.25">
      <c r="A764" s="89"/>
      <c r="B764" s="191"/>
      <c r="E764" s="94"/>
      <c r="F764" s="94"/>
      <c r="G764" s="94"/>
    </row>
    <row r="765" spans="1:7" x14ac:dyDescent="0.25">
      <c r="A765" s="89"/>
      <c r="B765" s="191"/>
      <c r="E765" s="94"/>
      <c r="F765" s="94"/>
      <c r="G765" s="94"/>
    </row>
    <row r="766" spans="1:7" x14ac:dyDescent="0.25">
      <c r="A766" s="89"/>
      <c r="B766" s="191"/>
      <c r="E766" s="94"/>
      <c r="F766" s="94"/>
      <c r="G766" s="94"/>
    </row>
    <row r="767" spans="1:7" x14ac:dyDescent="0.25">
      <c r="A767" s="89"/>
      <c r="B767" s="191"/>
      <c r="E767" s="94"/>
      <c r="F767" s="94"/>
      <c r="G767" s="94"/>
    </row>
    <row r="768" spans="1:7" x14ac:dyDescent="0.25">
      <c r="A768" s="89"/>
      <c r="B768" s="191"/>
      <c r="E768" s="94"/>
      <c r="F768" s="94"/>
      <c r="G768" s="94"/>
    </row>
    <row r="769" spans="1:7" x14ac:dyDescent="0.25">
      <c r="A769" s="89"/>
      <c r="B769" s="191"/>
      <c r="E769" s="94"/>
      <c r="F769" s="94"/>
      <c r="G769" s="94"/>
    </row>
    <row r="770" spans="1:7" x14ac:dyDescent="0.25">
      <c r="A770" s="89"/>
      <c r="B770" s="191"/>
      <c r="E770" s="94"/>
      <c r="F770" s="94"/>
      <c r="G770" s="94"/>
    </row>
    <row r="771" spans="1:7" x14ac:dyDescent="0.25">
      <c r="A771" s="89"/>
      <c r="B771" s="191"/>
      <c r="E771" s="94"/>
      <c r="F771" s="94"/>
      <c r="G771" s="94"/>
    </row>
    <row r="772" spans="1:7" x14ac:dyDescent="0.25">
      <c r="A772" s="89"/>
      <c r="B772" s="191"/>
      <c r="E772" s="94"/>
      <c r="F772" s="94"/>
      <c r="G772" s="94"/>
    </row>
    <row r="773" spans="1:7" x14ac:dyDescent="0.25">
      <c r="A773" s="89"/>
      <c r="B773" s="191"/>
      <c r="E773" s="94"/>
      <c r="F773" s="94"/>
      <c r="G773" s="94"/>
    </row>
    <row r="774" spans="1:7" x14ac:dyDescent="0.25">
      <c r="A774" s="89"/>
      <c r="B774" s="191"/>
      <c r="E774" s="94"/>
      <c r="F774" s="94"/>
      <c r="G774" s="94"/>
    </row>
    <row r="775" spans="1:7" x14ac:dyDescent="0.25">
      <c r="A775" s="89"/>
      <c r="B775" s="191"/>
      <c r="E775" s="94"/>
      <c r="F775" s="94"/>
      <c r="G775" s="94"/>
    </row>
    <row r="776" spans="1:7" x14ac:dyDescent="0.25">
      <c r="A776" s="89"/>
      <c r="B776" s="191"/>
      <c r="E776" s="94"/>
      <c r="F776" s="94"/>
      <c r="G776" s="94"/>
    </row>
    <row r="777" spans="1:7" x14ac:dyDescent="0.25">
      <c r="A777" s="89"/>
      <c r="B777" s="191"/>
      <c r="E777" s="94"/>
      <c r="F777" s="94"/>
      <c r="G777" s="94"/>
    </row>
    <row r="778" spans="1:7" x14ac:dyDescent="0.25">
      <c r="A778" s="89"/>
      <c r="B778" s="191"/>
      <c r="E778" s="94"/>
      <c r="F778" s="94"/>
      <c r="G778" s="94"/>
    </row>
    <row r="779" spans="1:7" x14ac:dyDescent="0.25">
      <c r="A779" s="89"/>
      <c r="B779" s="191"/>
      <c r="E779" s="94"/>
      <c r="F779" s="94"/>
      <c r="G779" s="94"/>
    </row>
    <row r="780" spans="1:7" x14ac:dyDescent="0.25">
      <c r="A780" s="89"/>
      <c r="B780" s="191"/>
      <c r="E780" s="94"/>
      <c r="F780" s="94"/>
      <c r="G780" s="94"/>
    </row>
    <row r="781" spans="1:7" x14ac:dyDescent="0.25">
      <c r="A781" s="89"/>
      <c r="B781" s="191"/>
      <c r="E781" s="94"/>
      <c r="F781" s="94"/>
      <c r="G781" s="94"/>
    </row>
    <row r="782" spans="1:7" x14ac:dyDescent="0.25">
      <c r="A782" s="89"/>
      <c r="B782" s="191"/>
      <c r="E782" s="94"/>
      <c r="F782" s="94"/>
      <c r="G782" s="94"/>
    </row>
    <row r="783" spans="1:7" x14ac:dyDescent="0.25">
      <c r="A783" s="89"/>
      <c r="B783" s="191"/>
      <c r="E783" s="94"/>
      <c r="F783" s="94"/>
      <c r="G783" s="94"/>
    </row>
    <row r="784" spans="1:7" x14ac:dyDescent="0.25">
      <c r="A784" s="89"/>
      <c r="B784" s="191"/>
      <c r="E784" s="94"/>
      <c r="F784" s="94"/>
      <c r="G784" s="94"/>
    </row>
    <row r="785" spans="1:7" x14ac:dyDescent="0.25">
      <c r="A785" s="89"/>
      <c r="B785" s="191"/>
      <c r="E785" s="94"/>
      <c r="F785" s="94"/>
      <c r="G785" s="94"/>
    </row>
    <row r="786" spans="1:7" x14ac:dyDescent="0.25">
      <c r="A786" s="89"/>
      <c r="B786" s="191"/>
      <c r="E786" s="94"/>
      <c r="F786" s="94"/>
      <c r="G786" s="94"/>
    </row>
    <row r="787" spans="1:7" x14ac:dyDescent="0.25">
      <c r="A787" s="89"/>
      <c r="B787" s="191"/>
      <c r="E787" s="94"/>
      <c r="F787" s="94"/>
      <c r="G787" s="94"/>
    </row>
    <row r="788" spans="1:7" x14ac:dyDescent="0.25">
      <c r="A788" s="89"/>
      <c r="B788" s="191"/>
      <c r="E788" s="94"/>
      <c r="F788" s="94"/>
      <c r="G788" s="94"/>
    </row>
    <row r="789" spans="1:7" x14ac:dyDescent="0.25">
      <c r="A789" s="89"/>
      <c r="B789" s="191"/>
      <c r="E789" s="94"/>
      <c r="F789" s="94"/>
      <c r="G789" s="94"/>
    </row>
    <row r="790" spans="1:7" x14ac:dyDescent="0.25">
      <c r="A790" s="89"/>
      <c r="B790" s="191"/>
      <c r="E790" s="94"/>
      <c r="F790" s="94"/>
      <c r="G790" s="94"/>
    </row>
    <row r="791" spans="1:7" x14ac:dyDescent="0.25">
      <c r="A791" s="89"/>
      <c r="B791" s="191"/>
      <c r="E791" s="94"/>
      <c r="F791" s="94"/>
      <c r="G791" s="94"/>
    </row>
    <row r="792" spans="1:7" x14ac:dyDescent="0.25">
      <c r="A792" s="89"/>
      <c r="B792" s="191"/>
      <c r="E792" s="94"/>
      <c r="F792" s="94"/>
      <c r="G792" s="94"/>
    </row>
    <row r="793" spans="1:7" x14ac:dyDescent="0.25">
      <c r="A793" s="89"/>
      <c r="B793" s="191"/>
      <c r="E793" s="94"/>
      <c r="F793" s="94"/>
      <c r="G793" s="94"/>
    </row>
    <row r="794" spans="1:7" x14ac:dyDescent="0.25">
      <c r="A794" s="89"/>
      <c r="B794" s="191"/>
      <c r="E794" s="94"/>
      <c r="F794" s="94"/>
      <c r="G794" s="94"/>
    </row>
    <row r="795" spans="1:7" x14ac:dyDescent="0.25">
      <c r="A795" s="89"/>
      <c r="B795" s="191"/>
      <c r="E795" s="94"/>
      <c r="F795" s="94"/>
      <c r="G795" s="94"/>
    </row>
    <row r="796" spans="1:7" x14ac:dyDescent="0.25">
      <c r="A796" s="89"/>
      <c r="B796" s="191"/>
      <c r="E796" s="94"/>
      <c r="F796" s="94"/>
      <c r="G796" s="94"/>
    </row>
    <row r="797" spans="1:7" x14ac:dyDescent="0.25">
      <c r="A797" s="89"/>
      <c r="B797" s="191"/>
      <c r="E797" s="94"/>
      <c r="F797" s="94"/>
      <c r="G797" s="94"/>
    </row>
    <row r="798" spans="1:7" x14ac:dyDescent="0.25">
      <c r="A798" s="89"/>
      <c r="B798" s="191"/>
      <c r="E798" s="94"/>
      <c r="F798" s="94"/>
      <c r="G798" s="94"/>
    </row>
    <row r="799" spans="1:7" x14ac:dyDescent="0.25">
      <c r="A799" s="89"/>
      <c r="B799" s="191"/>
      <c r="E799" s="94"/>
      <c r="F799" s="94"/>
      <c r="G799" s="94"/>
    </row>
    <row r="800" spans="1:7" x14ac:dyDescent="0.25">
      <c r="A800" s="89"/>
      <c r="B800" s="191"/>
      <c r="E800" s="94"/>
      <c r="F800" s="94"/>
      <c r="G800" s="94"/>
    </row>
    <row r="801" spans="1:7" x14ac:dyDescent="0.25">
      <c r="A801" s="89"/>
      <c r="B801" s="191"/>
      <c r="E801" s="94"/>
      <c r="F801" s="94"/>
      <c r="G801" s="94"/>
    </row>
    <row r="802" spans="1:7" x14ac:dyDescent="0.25">
      <c r="A802" s="89"/>
      <c r="B802" s="191"/>
      <c r="E802" s="94"/>
      <c r="F802" s="94"/>
      <c r="G802" s="94"/>
    </row>
    <row r="803" spans="1:7" x14ac:dyDescent="0.25">
      <c r="A803" s="89"/>
      <c r="B803" s="191"/>
      <c r="E803" s="94"/>
      <c r="F803" s="94"/>
      <c r="G803" s="94"/>
    </row>
    <row r="804" spans="1:7" x14ac:dyDescent="0.25">
      <c r="A804" s="89"/>
      <c r="B804" s="191"/>
      <c r="E804" s="94"/>
      <c r="F804" s="94"/>
      <c r="G804" s="94"/>
    </row>
    <row r="805" spans="1:7" x14ac:dyDescent="0.25">
      <c r="A805" s="89"/>
      <c r="B805" s="191"/>
      <c r="E805" s="94"/>
      <c r="F805" s="94"/>
      <c r="G805" s="94"/>
    </row>
    <row r="806" spans="1:7" x14ac:dyDescent="0.25">
      <c r="A806" s="89"/>
      <c r="B806" s="191"/>
      <c r="E806" s="94"/>
      <c r="F806" s="94"/>
      <c r="G806" s="94"/>
    </row>
    <row r="807" spans="1:7" x14ac:dyDescent="0.25">
      <c r="A807" s="89"/>
      <c r="B807" s="191"/>
      <c r="E807" s="94"/>
      <c r="F807" s="94"/>
      <c r="G807" s="94"/>
    </row>
    <row r="808" spans="1:7" x14ac:dyDescent="0.25">
      <c r="A808" s="89"/>
      <c r="B808" s="191"/>
      <c r="E808" s="94"/>
      <c r="F808" s="94"/>
      <c r="G808" s="94"/>
    </row>
    <row r="809" spans="1:7" x14ac:dyDescent="0.25">
      <c r="A809" s="89"/>
      <c r="B809" s="191"/>
      <c r="E809" s="94"/>
      <c r="F809" s="94"/>
      <c r="G809" s="94"/>
    </row>
    <row r="810" spans="1:7" x14ac:dyDescent="0.25">
      <c r="A810" s="89"/>
      <c r="B810" s="191"/>
      <c r="E810" s="94"/>
      <c r="F810" s="94"/>
      <c r="G810" s="94"/>
    </row>
    <row r="811" spans="1:7" x14ac:dyDescent="0.25">
      <c r="A811" s="89"/>
      <c r="B811" s="191"/>
      <c r="E811" s="94"/>
      <c r="F811" s="94"/>
      <c r="G811" s="94"/>
    </row>
    <row r="812" spans="1:7" x14ac:dyDescent="0.25">
      <c r="A812" s="89"/>
      <c r="B812" s="191"/>
      <c r="E812" s="94"/>
      <c r="F812" s="94"/>
      <c r="G812" s="94"/>
    </row>
    <row r="813" spans="1:7" x14ac:dyDescent="0.25">
      <c r="A813" s="89"/>
      <c r="B813" s="191"/>
      <c r="E813" s="94"/>
      <c r="F813" s="94"/>
      <c r="G813" s="94"/>
    </row>
    <row r="814" spans="1:7" x14ac:dyDescent="0.25">
      <c r="A814" s="89"/>
      <c r="B814" s="191"/>
      <c r="E814" s="94"/>
      <c r="F814" s="94"/>
      <c r="G814" s="94"/>
    </row>
    <row r="815" spans="1:7" x14ac:dyDescent="0.25">
      <c r="A815" s="89"/>
      <c r="B815" s="191"/>
      <c r="E815" s="94"/>
      <c r="F815" s="94"/>
      <c r="G815" s="94"/>
    </row>
    <row r="816" spans="1:7" x14ac:dyDescent="0.25">
      <c r="A816" s="89"/>
      <c r="B816" s="191"/>
      <c r="E816" s="94"/>
      <c r="F816" s="94"/>
      <c r="G816" s="94"/>
    </row>
    <row r="817" spans="1:7" x14ac:dyDescent="0.25">
      <c r="A817" s="89"/>
      <c r="B817" s="191"/>
      <c r="E817" s="94"/>
      <c r="F817" s="94"/>
      <c r="G817" s="94"/>
    </row>
    <row r="818" spans="1:7" x14ac:dyDescent="0.25">
      <c r="A818" s="89"/>
      <c r="B818" s="191"/>
      <c r="E818" s="94"/>
      <c r="F818" s="94"/>
      <c r="G818" s="94"/>
    </row>
    <row r="819" spans="1:7" x14ac:dyDescent="0.25">
      <c r="A819" s="89"/>
      <c r="B819" s="191"/>
      <c r="E819" s="94"/>
      <c r="F819" s="94"/>
      <c r="G819" s="94"/>
    </row>
    <row r="820" spans="1:7" x14ac:dyDescent="0.25">
      <c r="A820" s="89"/>
      <c r="B820" s="191"/>
      <c r="E820" s="94"/>
      <c r="F820" s="94"/>
      <c r="G820" s="94"/>
    </row>
    <row r="821" spans="1:7" x14ac:dyDescent="0.25">
      <c r="A821" s="89"/>
      <c r="B821" s="191"/>
      <c r="E821" s="94"/>
      <c r="F821" s="94"/>
      <c r="G821" s="94"/>
    </row>
    <row r="822" spans="1:7" x14ac:dyDescent="0.25">
      <c r="A822" s="89"/>
      <c r="B822" s="191"/>
      <c r="E822" s="94"/>
      <c r="F822" s="94"/>
      <c r="G822" s="94"/>
    </row>
    <row r="823" spans="1:7" x14ac:dyDescent="0.25">
      <c r="A823" s="89"/>
      <c r="B823" s="191"/>
      <c r="E823" s="94"/>
      <c r="F823" s="94"/>
      <c r="G823" s="94"/>
    </row>
    <row r="824" spans="1:7" x14ac:dyDescent="0.25">
      <c r="A824" s="89"/>
      <c r="B824" s="191"/>
      <c r="E824" s="94"/>
      <c r="F824" s="94"/>
      <c r="G824" s="94"/>
    </row>
    <row r="825" spans="1:7" x14ac:dyDescent="0.25">
      <c r="A825" s="89"/>
      <c r="B825" s="191"/>
      <c r="E825" s="94"/>
      <c r="F825" s="94"/>
      <c r="G825" s="94"/>
    </row>
    <row r="826" spans="1:7" x14ac:dyDescent="0.25">
      <c r="A826" s="89"/>
      <c r="B826" s="191"/>
      <c r="E826" s="94"/>
      <c r="F826" s="94"/>
      <c r="G826" s="94"/>
    </row>
    <row r="827" spans="1:7" x14ac:dyDescent="0.25">
      <c r="A827" s="89"/>
      <c r="B827" s="191"/>
      <c r="E827" s="94"/>
      <c r="F827" s="94"/>
      <c r="G827" s="94"/>
    </row>
    <row r="828" spans="1:7" x14ac:dyDescent="0.25">
      <c r="A828" s="89"/>
      <c r="B828" s="191"/>
      <c r="E828" s="94"/>
      <c r="F828" s="94"/>
      <c r="G828" s="94"/>
    </row>
    <row r="829" spans="1:7" x14ac:dyDescent="0.25">
      <c r="A829" s="89"/>
      <c r="B829" s="191"/>
      <c r="E829" s="94"/>
      <c r="F829" s="94"/>
      <c r="G829" s="94"/>
    </row>
    <row r="830" spans="1:7" x14ac:dyDescent="0.25">
      <c r="A830" s="89"/>
      <c r="B830" s="191"/>
      <c r="E830" s="94"/>
      <c r="F830" s="94"/>
      <c r="G830" s="94"/>
    </row>
    <row r="831" spans="1:7" x14ac:dyDescent="0.25">
      <c r="A831" s="89"/>
      <c r="B831" s="191"/>
      <c r="E831" s="94"/>
      <c r="F831" s="94"/>
      <c r="G831" s="94"/>
    </row>
    <row r="832" spans="1:7" x14ac:dyDescent="0.25">
      <c r="A832" s="89"/>
      <c r="B832" s="191"/>
      <c r="E832" s="94"/>
      <c r="F832" s="94"/>
      <c r="G832" s="94"/>
    </row>
    <row r="833" spans="1:7" x14ac:dyDescent="0.25">
      <c r="A833" s="89"/>
      <c r="B833" s="191"/>
      <c r="E833" s="94"/>
      <c r="F833" s="94"/>
      <c r="G833" s="94"/>
    </row>
    <row r="834" spans="1:7" x14ac:dyDescent="0.25">
      <c r="A834" s="89"/>
      <c r="B834" s="191"/>
      <c r="E834" s="94"/>
      <c r="F834" s="94"/>
      <c r="G834" s="94"/>
    </row>
    <row r="835" spans="1:7" x14ac:dyDescent="0.25">
      <c r="A835" s="89"/>
      <c r="B835" s="191"/>
      <c r="E835" s="94"/>
      <c r="F835" s="94"/>
      <c r="G835" s="94"/>
    </row>
    <row r="836" spans="1:7" x14ac:dyDescent="0.25">
      <c r="A836" s="89"/>
      <c r="B836" s="191"/>
      <c r="E836" s="94"/>
      <c r="F836" s="94"/>
      <c r="G836" s="94"/>
    </row>
    <row r="837" spans="1:7" x14ac:dyDescent="0.25">
      <c r="A837" s="89"/>
      <c r="B837" s="191"/>
      <c r="E837" s="94"/>
      <c r="F837" s="94"/>
      <c r="G837" s="94"/>
    </row>
    <row r="838" spans="1:7" x14ac:dyDescent="0.25">
      <c r="A838" s="89"/>
      <c r="B838" s="191"/>
      <c r="E838" s="94"/>
      <c r="F838" s="94"/>
      <c r="G838" s="94"/>
    </row>
    <row r="839" spans="1:7" x14ac:dyDescent="0.25">
      <c r="A839" s="89"/>
      <c r="B839" s="191"/>
      <c r="E839" s="94"/>
      <c r="F839" s="94"/>
      <c r="G839" s="94"/>
    </row>
    <row r="840" spans="1:7" x14ac:dyDescent="0.25">
      <c r="A840" s="89"/>
      <c r="B840" s="191"/>
      <c r="E840" s="94"/>
      <c r="F840" s="94"/>
      <c r="G840" s="94"/>
    </row>
    <row r="841" spans="1:7" x14ac:dyDescent="0.25">
      <c r="A841" s="89"/>
      <c r="B841" s="191"/>
      <c r="E841" s="94"/>
      <c r="F841" s="94"/>
      <c r="G841" s="94"/>
    </row>
    <row r="842" spans="1:7" x14ac:dyDescent="0.25">
      <c r="A842" s="89"/>
      <c r="B842" s="191"/>
      <c r="E842" s="94"/>
      <c r="F842" s="94"/>
      <c r="G842" s="94"/>
    </row>
    <row r="843" spans="1:7" x14ac:dyDescent="0.25">
      <c r="A843" s="89"/>
      <c r="B843" s="191"/>
      <c r="E843" s="94"/>
      <c r="F843" s="94"/>
      <c r="G843" s="94"/>
    </row>
    <row r="844" spans="1:7" x14ac:dyDescent="0.25">
      <c r="A844" s="89"/>
      <c r="B844" s="191"/>
      <c r="E844" s="94"/>
      <c r="F844" s="94"/>
      <c r="G844" s="94"/>
    </row>
    <row r="845" spans="1:7" x14ac:dyDescent="0.25">
      <c r="A845" s="89"/>
      <c r="B845" s="191"/>
      <c r="E845" s="94"/>
      <c r="F845" s="94"/>
      <c r="G845" s="94"/>
    </row>
    <row r="846" spans="1:7" x14ac:dyDescent="0.25">
      <c r="A846" s="89"/>
      <c r="B846" s="191"/>
      <c r="E846" s="94"/>
      <c r="F846" s="94"/>
      <c r="G846" s="94"/>
    </row>
    <row r="847" spans="1:7" x14ac:dyDescent="0.25">
      <c r="A847" s="89"/>
      <c r="B847" s="191"/>
      <c r="E847" s="94"/>
      <c r="F847" s="94"/>
      <c r="G847" s="94"/>
    </row>
    <row r="848" spans="1:7" x14ac:dyDescent="0.25">
      <c r="A848" s="89"/>
      <c r="B848" s="191"/>
      <c r="E848" s="94"/>
      <c r="F848" s="94"/>
      <c r="G848" s="94"/>
    </row>
    <row r="849" spans="1:7" x14ac:dyDescent="0.25">
      <c r="A849" s="89"/>
      <c r="B849" s="191"/>
      <c r="E849" s="94"/>
      <c r="F849" s="94"/>
      <c r="G849" s="94"/>
    </row>
    <row r="850" spans="1:7" x14ac:dyDescent="0.25">
      <c r="A850" s="89"/>
      <c r="B850" s="191"/>
      <c r="E850" s="94"/>
      <c r="F850" s="94"/>
      <c r="G850" s="94"/>
    </row>
    <row r="851" spans="1:7" x14ac:dyDescent="0.25">
      <c r="A851" s="89"/>
      <c r="B851" s="191"/>
      <c r="E851" s="94"/>
      <c r="F851" s="94"/>
      <c r="G851" s="94"/>
    </row>
    <row r="852" spans="1:7" x14ac:dyDescent="0.25">
      <c r="A852" s="89"/>
      <c r="B852" s="191"/>
      <c r="E852" s="94"/>
      <c r="F852" s="94"/>
      <c r="G852" s="94"/>
    </row>
    <row r="853" spans="1:7" x14ac:dyDescent="0.25">
      <c r="A853" s="89"/>
      <c r="B853" s="191"/>
      <c r="E853" s="94"/>
      <c r="F853" s="94"/>
      <c r="G853" s="94"/>
    </row>
    <row r="854" spans="1:7" x14ac:dyDescent="0.25">
      <c r="A854" s="89"/>
      <c r="B854" s="191"/>
      <c r="E854" s="94"/>
      <c r="F854" s="94"/>
      <c r="G854" s="94"/>
    </row>
    <row r="855" spans="1:7" x14ac:dyDescent="0.25">
      <c r="A855" s="89"/>
      <c r="B855" s="191"/>
      <c r="E855" s="94"/>
      <c r="F855" s="94"/>
      <c r="G855" s="94"/>
    </row>
    <row r="856" spans="1:7" x14ac:dyDescent="0.25">
      <c r="A856" s="89"/>
      <c r="B856" s="191"/>
      <c r="E856" s="94"/>
      <c r="F856" s="94"/>
      <c r="G856" s="94"/>
    </row>
    <row r="857" spans="1:7" x14ac:dyDescent="0.25">
      <c r="A857" s="89"/>
      <c r="B857" s="191"/>
      <c r="E857" s="94"/>
      <c r="F857" s="94"/>
      <c r="G857" s="94"/>
    </row>
    <row r="858" spans="1:7" x14ac:dyDescent="0.25">
      <c r="A858" s="89"/>
      <c r="B858" s="191"/>
      <c r="E858" s="94"/>
      <c r="F858" s="94"/>
      <c r="G858" s="94"/>
    </row>
    <row r="859" spans="1:7" x14ac:dyDescent="0.25">
      <c r="A859" s="89"/>
      <c r="B859" s="191"/>
      <c r="E859" s="94"/>
      <c r="F859" s="94"/>
      <c r="G859" s="94"/>
    </row>
    <row r="860" spans="1:7" x14ac:dyDescent="0.25">
      <c r="A860" s="89"/>
      <c r="B860" s="191"/>
      <c r="E860" s="94"/>
      <c r="F860" s="94"/>
      <c r="G860" s="94"/>
    </row>
    <row r="861" spans="1:7" x14ac:dyDescent="0.25">
      <c r="A861" s="89"/>
      <c r="B861" s="191"/>
      <c r="E861" s="94"/>
      <c r="F861" s="94"/>
      <c r="G861" s="94"/>
    </row>
    <row r="862" spans="1:7" x14ac:dyDescent="0.25">
      <c r="A862" s="89"/>
      <c r="B862" s="191"/>
      <c r="E862" s="94"/>
      <c r="F862" s="94"/>
      <c r="G862" s="94"/>
    </row>
    <row r="863" spans="1:7" x14ac:dyDescent="0.25">
      <c r="A863" s="89"/>
      <c r="B863" s="191"/>
      <c r="E863" s="94"/>
      <c r="F863" s="94"/>
      <c r="G863" s="94"/>
    </row>
    <row r="864" spans="1:7" x14ac:dyDescent="0.25">
      <c r="A864" s="89"/>
      <c r="B864" s="191"/>
      <c r="E864" s="94"/>
      <c r="F864" s="94"/>
      <c r="G864" s="94"/>
    </row>
    <row r="865" spans="1:7" x14ac:dyDescent="0.25">
      <c r="A865" s="89"/>
      <c r="B865" s="191"/>
      <c r="E865" s="94"/>
      <c r="F865" s="94"/>
      <c r="G865" s="94"/>
    </row>
    <row r="866" spans="1:7" x14ac:dyDescent="0.25">
      <c r="A866" s="89"/>
      <c r="B866" s="191"/>
      <c r="E866" s="94"/>
      <c r="F866" s="94"/>
      <c r="G866" s="94"/>
    </row>
    <row r="867" spans="1:7" x14ac:dyDescent="0.25">
      <c r="A867" s="89"/>
      <c r="B867" s="191"/>
      <c r="E867" s="94"/>
      <c r="F867" s="94"/>
      <c r="G867" s="94"/>
    </row>
    <row r="868" spans="1:7" x14ac:dyDescent="0.25">
      <c r="A868" s="89"/>
      <c r="B868" s="191"/>
      <c r="E868" s="94"/>
      <c r="F868" s="94"/>
      <c r="G868" s="94"/>
    </row>
    <row r="869" spans="1:7" x14ac:dyDescent="0.25">
      <c r="A869" s="89"/>
      <c r="B869" s="191"/>
      <c r="E869" s="94"/>
      <c r="F869" s="94"/>
      <c r="G869" s="94"/>
    </row>
    <row r="870" spans="1:7" x14ac:dyDescent="0.25">
      <c r="A870" s="89"/>
      <c r="B870" s="191"/>
      <c r="E870" s="94"/>
      <c r="F870" s="94"/>
      <c r="G870" s="94"/>
    </row>
    <row r="871" spans="1:7" x14ac:dyDescent="0.25">
      <c r="A871" s="89"/>
      <c r="B871" s="191"/>
      <c r="E871" s="94"/>
      <c r="F871" s="94"/>
      <c r="G871" s="94"/>
    </row>
    <row r="872" spans="1:7" x14ac:dyDescent="0.25">
      <c r="A872" s="89"/>
      <c r="B872" s="191"/>
      <c r="E872" s="94"/>
      <c r="F872" s="94"/>
      <c r="G872" s="94"/>
    </row>
    <row r="873" spans="1:7" x14ac:dyDescent="0.25">
      <c r="A873" s="89"/>
      <c r="B873" s="191"/>
      <c r="E873" s="94"/>
      <c r="F873" s="94"/>
      <c r="G873" s="94"/>
    </row>
    <row r="874" spans="1:7" x14ac:dyDescent="0.25">
      <c r="A874" s="89"/>
      <c r="B874" s="191"/>
      <c r="E874" s="94"/>
      <c r="F874" s="94"/>
      <c r="G874" s="94"/>
    </row>
    <row r="875" spans="1:7" x14ac:dyDescent="0.25">
      <c r="A875" s="89"/>
      <c r="B875" s="191"/>
      <c r="E875" s="94"/>
      <c r="F875" s="94"/>
      <c r="G875" s="94"/>
    </row>
    <row r="876" spans="1:7" x14ac:dyDescent="0.25">
      <c r="A876" s="89"/>
      <c r="B876" s="191"/>
      <c r="E876" s="94"/>
      <c r="F876" s="94"/>
      <c r="G876" s="94"/>
    </row>
    <row r="877" spans="1:7" x14ac:dyDescent="0.25">
      <c r="A877" s="89"/>
      <c r="B877" s="191"/>
      <c r="E877" s="94"/>
      <c r="F877" s="94"/>
      <c r="G877" s="94"/>
    </row>
    <row r="878" spans="1:7" x14ac:dyDescent="0.25">
      <c r="A878" s="89"/>
      <c r="B878" s="191"/>
      <c r="E878" s="94"/>
      <c r="F878" s="94"/>
      <c r="G878" s="94"/>
    </row>
    <row r="879" spans="1:7" x14ac:dyDescent="0.25">
      <c r="A879" s="89"/>
      <c r="B879" s="191"/>
      <c r="E879" s="94"/>
      <c r="F879" s="94"/>
      <c r="G879" s="94"/>
    </row>
    <row r="880" spans="1:7" x14ac:dyDescent="0.25">
      <c r="A880" s="89"/>
      <c r="B880" s="191"/>
      <c r="E880" s="94"/>
      <c r="F880" s="94"/>
      <c r="G880" s="94"/>
    </row>
    <row r="881" spans="1:7" x14ac:dyDescent="0.25">
      <c r="A881" s="89"/>
      <c r="B881" s="191"/>
      <c r="E881" s="94"/>
      <c r="F881" s="94"/>
      <c r="G881" s="94"/>
    </row>
    <row r="882" spans="1:7" x14ac:dyDescent="0.25">
      <c r="A882" s="89"/>
      <c r="B882" s="191"/>
      <c r="E882" s="94"/>
      <c r="F882" s="94"/>
      <c r="G882" s="94"/>
    </row>
    <row r="883" spans="1:7" x14ac:dyDescent="0.25">
      <c r="A883" s="89"/>
      <c r="B883" s="191"/>
      <c r="E883" s="94"/>
      <c r="F883" s="94"/>
      <c r="G883" s="94"/>
    </row>
    <row r="884" spans="1:7" x14ac:dyDescent="0.25">
      <c r="A884" s="89"/>
      <c r="B884" s="191"/>
      <c r="E884" s="94"/>
      <c r="F884" s="94"/>
      <c r="G884" s="94"/>
    </row>
    <row r="885" spans="1:7" x14ac:dyDescent="0.25">
      <c r="A885" s="89"/>
      <c r="B885" s="191"/>
      <c r="E885" s="94"/>
      <c r="F885" s="94"/>
      <c r="G885" s="94"/>
    </row>
    <row r="886" spans="1:7" x14ac:dyDescent="0.25">
      <c r="A886" s="89"/>
      <c r="B886" s="191"/>
      <c r="E886" s="94"/>
      <c r="F886" s="94"/>
      <c r="G886" s="94"/>
    </row>
    <row r="887" spans="1:7" x14ac:dyDescent="0.25">
      <c r="A887" s="89"/>
      <c r="B887" s="191"/>
      <c r="E887" s="94"/>
      <c r="F887" s="94"/>
      <c r="G887" s="94"/>
    </row>
    <row r="888" spans="1:7" x14ac:dyDescent="0.25">
      <c r="A888" s="89"/>
      <c r="B888" s="191"/>
      <c r="E888" s="94"/>
      <c r="F888" s="94"/>
      <c r="G888" s="94"/>
    </row>
    <row r="889" spans="1:7" x14ac:dyDescent="0.25">
      <c r="A889" s="89"/>
      <c r="B889" s="191"/>
      <c r="E889" s="94"/>
      <c r="F889" s="94"/>
      <c r="G889" s="94"/>
    </row>
    <row r="890" spans="1:7" x14ac:dyDescent="0.25">
      <c r="A890" s="89"/>
      <c r="B890" s="191"/>
      <c r="E890" s="94"/>
      <c r="F890" s="94"/>
      <c r="G890" s="94"/>
    </row>
    <row r="891" spans="1:7" x14ac:dyDescent="0.25">
      <c r="A891" s="89"/>
      <c r="B891" s="191"/>
      <c r="E891" s="94"/>
      <c r="F891" s="94"/>
      <c r="G891" s="94"/>
    </row>
    <row r="892" spans="1:7" x14ac:dyDescent="0.25">
      <c r="A892" s="89"/>
      <c r="B892" s="191"/>
      <c r="E892" s="94"/>
      <c r="F892" s="94"/>
      <c r="G892" s="94"/>
    </row>
    <row r="893" spans="1:7" x14ac:dyDescent="0.25">
      <c r="A893" s="89"/>
      <c r="B893" s="191"/>
      <c r="E893" s="94"/>
      <c r="F893" s="94"/>
      <c r="G893" s="94"/>
    </row>
    <row r="894" spans="1:7" x14ac:dyDescent="0.25">
      <c r="A894" s="89"/>
      <c r="B894" s="191"/>
      <c r="E894" s="94"/>
      <c r="F894" s="94"/>
      <c r="G894" s="94"/>
    </row>
    <row r="895" spans="1:7" x14ac:dyDescent="0.25">
      <c r="A895" s="89"/>
      <c r="B895" s="191"/>
      <c r="E895" s="94"/>
      <c r="F895" s="94"/>
      <c r="G895" s="94"/>
    </row>
    <row r="896" spans="1:7" x14ac:dyDescent="0.25">
      <c r="A896" s="89"/>
      <c r="B896" s="191"/>
      <c r="E896" s="94"/>
      <c r="F896" s="94"/>
      <c r="G896" s="94"/>
    </row>
    <row r="897" spans="1:7" x14ac:dyDescent="0.25">
      <c r="A897" s="89"/>
      <c r="B897" s="191"/>
      <c r="E897" s="94"/>
      <c r="F897" s="94"/>
      <c r="G897" s="94"/>
    </row>
    <row r="898" spans="1:7" x14ac:dyDescent="0.25">
      <c r="A898" s="89"/>
      <c r="B898" s="191"/>
      <c r="E898" s="94"/>
      <c r="F898" s="94"/>
      <c r="G898" s="94"/>
    </row>
    <row r="899" spans="1:7" x14ac:dyDescent="0.25">
      <c r="A899" s="89"/>
      <c r="B899" s="191"/>
      <c r="E899" s="94"/>
      <c r="F899" s="94"/>
      <c r="G899" s="94"/>
    </row>
    <row r="900" spans="1:7" x14ac:dyDescent="0.25">
      <c r="A900" s="89"/>
      <c r="B900" s="191"/>
      <c r="E900" s="94"/>
      <c r="F900" s="94"/>
      <c r="G900" s="94"/>
    </row>
    <row r="901" spans="1:7" x14ac:dyDescent="0.25">
      <c r="A901" s="89"/>
      <c r="B901" s="191"/>
      <c r="E901" s="94"/>
      <c r="F901" s="94"/>
      <c r="G901" s="94"/>
    </row>
    <row r="902" spans="1:7" x14ac:dyDescent="0.25">
      <c r="A902" s="89"/>
      <c r="B902" s="191"/>
      <c r="E902" s="94"/>
      <c r="F902" s="94"/>
      <c r="G902" s="94"/>
    </row>
    <row r="903" spans="1:7" x14ac:dyDescent="0.25">
      <c r="A903" s="89"/>
      <c r="B903" s="191"/>
      <c r="E903" s="94"/>
      <c r="F903" s="94"/>
      <c r="G903" s="94"/>
    </row>
    <row r="904" spans="1:7" x14ac:dyDescent="0.25">
      <c r="A904" s="89"/>
      <c r="B904" s="191"/>
      <c r="E904" s="94"/>
      <c r="F904" s="94"/>
      <c r="G904" s="94"/>
    </row>
    <row r="905" spans="1:7" x14ac:dyDescent="0.25">
      <c r="A905" s="89"/>
      <c r="B905" s="191"/>
      <c r="E905" s="94"/>
      <c r="F905" s="94"/>
      <c r="G905" s="94"/>
    </row>
    <row r="906" spans="1:7" x14ac:dyDescent="0.25">
      <c r="A906" s="89"/>
      <c r="B906" s="191"/>
      <c r="E906" s="94"/>
      <c r="F906" s="94"/>
      <c r="G906" s="94"/>
    </row>
    <row r="907" spans="1:7" x14ac:dyDescent="0.25">
      <c r="A907" s="89"/>
      <c r="B907" s="191"/>
      <c r="E907" s="94"/>
      <c r="F907" s="94"/>
      <c r="G907" s="94"/>
    </row>
    <row r="908" spans="1:7" x14ac:dyDescent="0.25">
      <c r="A908" s="89"/>
      <c r="B908" s="191"/>
      <c r="E908" s="94"/>
      <c r="F908" s="94"/>
      <c r="G908" s="94"/>
    </row>
    <row r="909" spans="1:7" x14ac:dyDescent="0.25">
      <c r="A909" s="89"/>
      <c r="B909" s="191"/>
      <c r="E909" s="94"/>
      <c r="F909" s="94"/>
      <c r="G909" s="94"/>
    </row>
    <row r="910" spans="1:7" x14ac:dyDescent="0.25">
      <c r="A910" s="89"/>
      <c r="B910" s="191"/>
      <c r="E910" s="94"/>
      <c r="F910" s="94"/>
      <c r="G910" s="94"/>
    </row>
    <row r="911" spans="1:7" x14ac:dyDescent="0.25">
      <c r="A911" s="89"/>
      <c r="B911" s="191"/>
      <c r="E911" s="94"/>
      <c r="F911" s="94"/>
      <c r="G911" s="94"/>
    </row>
    <row r="912" spans="1:7" x14ac:dyDescent="0.25">
      <c r="A912" s="89"/>
      <c r="B912" s="191"/>
      <c r="E912" s="94"/>
      <c r="F912" s="94"/>
      <c r="G912" s="94"/>
    </row>
    <row r="913" spans="1:7" x14ac:dyDescent="0.25">
      <c r="A913" s="89"/>
      <c r="B913" s="191"/>
      <c r="E913" s="94"/>
      <c r="F913" s="94"/>
      <c r="G913" s="94"/>
    </row>
    <row r="914" spans="1:7" x14ac:dyDescent="0.25">
      <c r="A914" s="89"/>
      <c r="B914" s="191"/>
      <c r="E914" s="94"/>
      <c r="F914" s="94"/>
      <c r="G914" s="94"/>
    </row>
    <row r="915" spans="1:7" x14ac:dyDescent="0.25">
      <c r="A915" s="89"/>
      <c r="B915" s="191"/>
      <c r="E915" s="94"/>
      <c r="F915" s="94"/>
      <c r="G915" s="94"/>
    </row>
    <row r="916" spans="1:7" x14ac:dyDescent="0.25">
      <c r="A916" s="89"/>
      <c r="B916" s="191"/>
      <c r="E916" s="94"/>
      <c r="F916" s="94"/>
      <c r="G916" s="94"/>
    </row>
    <row r="917" spans="1:7" x14ac:dyDescent="0.25">
      <c r="A917" s="89"/>
      <c r="B917" s="191"/>
      <c r="E917" s="94"/>
      <c r="F917" s="94"/>
      <c r="G917" s="94"/>
    </row>
    <row r="918" spans="1:7" x14ac:dyDescent="0.25">
      <c r="A918" s="89"/>
      <c r="B918" s="191"/>
      <c r="E918" s="94"/>
      <c r="F918" s="94"/>
      <c r="G918" s="94"/>
    </row>
    <row r="919" spans="1:7" x14ac:dyDescent="0.25">
      <c r="A919" s="89"/>
      <c r="B919" s="191"/>
      <c r="E919" s="94"/>
      <c r="F919" s="94"/>
      <c r="G919" s="94"/>
    </row>
    <row r="920" spans="1:7" x14ac:dyDescent="0.25">
      <c r="A920" s="89"/>
      <c r="B920" s="191"/>
      <c r="E920" s="94"/>
      <c r="F920" s="94"/>
      <c r="G920" s="94"/>
    </row>
    <row r="921" spans="1:7" x14ac:dyDescent="0.25">
      <c r="A921" s="89"/>
      <c r="B921" s="191"/>
      <c r="E921" s="94"/>
      <c r="F921" s="94"/>
      <c r="G921" s="94"/>
    </row>
    <row r="922" spans="1:7" x14ac:dyDescent="0.25">
      <c r="A922" s="89"/>
      <c r="B922" s="191"/>
      <c r="E922" s="94"/>
      <c r="F922" s="94"/>
      <c r="G922" s="94"/>
    </row>
    <row r="923" spans="1:7" x14ac:dyDescent="0.25">
      <c r="A923" s="89"/>
      <c r="B923" s="191"/>
      <c r="E923" s="94"/>
      <c r="F923" s="94"/>
      <c r="G923" s="94"/>
    </row>
    <row r="924" spans="1:7" x14ac:dyDescent="0.25">
      <c r="A924" s="89"/>
      <c r="B924" s="191"/>
      <c r="E924" s="94"/>
      <c r="F924" s="94"/>
      <c r="G924" s="94"/>
    </row>
    <row r="925" spans="1:7" x14ac:dyDescent="0.25">
      <c r="A925" s="89"/>
      <c r="B925" s="191"/>
      <c r="E925" s="94"/>
      <c r="F925" s="94"/>
      <c r="G925" s="94"/>
    </row>
    <row r="926" spans="1:7" x14ac:dyDescent="0.25">
      <c r="A926" s="89"/>
      <c r="B926" s="191"/>
      <c r="E926" s="94"/>
      <c r="F926" s="94"/>
      <c r="G926" s="94"/>
    </row>
    <row r="927" spans="1:7" x14ac:dyDescent="0.25">
      <c r="A927" s="89"/>
      <c r="B927" s="191"/>
      <c r="E927" s="94"/>
      <c r="F927" s="94"/>
      <c r="G927" s="94"/>
    </row>
    <row r="928" spans="1:7" x14ac:dyDescent="0.25">
      <c r="A928" s="89"/>
      <c r="B928" s="191"/>
      <c r="E928" s="94"/>
      <c r="F928" s="94"/>
      <c r="G928" s="94"/>
    </row>
    <row r="929" spans="1:7" x14ac:dyDescent="0.25">
      <c r="A929" s="89"/>
      <c r="B929" s="191"/>
      <c r="E929" s="94"/>
      <c r="F929" s="94"/>
      <c r="G929" s="94"/>
    </row>
    <row r="930" spans="1:7" x14ac:dyDescent="0.25">
      <c r="A930" s="89"/>
      <c r="B930" s="191"/>
      <c r="E930" s="94"/>
      <c r="F930" s="94"/>
      <c r="G930" s="94"/>
    </row>
    <row r="931" spans="1:7" x14ac:dyDescent="0.25">
      <c r="A931" s="89"/>
      <c r="B931" s="191"/>
      <c r="E931" s="94"/>
      <c r="F931" s="94"/>
      <c r="G931" s="94"/>
    </row>
    <row r="932" spans="1:7" x14ac:dyDescent="0.25">
      <c r="A932" s="89"/>
      <c r="B932" s="191"/>
      <c r="E932" s="94"/>
      <c r="F932" s="94"/>
      <c r="G932" s="94"/>
    </row>
    <row r="933" spans="1:7" x14ac:dyDescent="0.25">
      <c r="A933" s="89"/>
      <c r="B933" s="191"/>
      <c r="E933" s="94"/>
      <c r="F933" s="94"/>
      <c r="G933" s="94"/>
    </row>
    <row r="934" spans="1:7" x14ac:dyDescent="0.25">
      <c r="A934" s="89"/>
      <c r="B934" s="191"/>
      <c r="E934" s="94"/>
      <c r="F934" s="94"/>
      <c r="G934" s="94"/>
    </row>
    <row r="935" spans="1:7" x14ac:dyDescent="0.25">
      <c r="A935" s="89"/>
      <c r="B935" s="191"/>
      <c r="E935" s="94"/>
      <c r="F935" s="94"/>
      <c r="G935" s="94"/>
    </row>
    <row r="936" spans="1:7" x14ac:dyDescent="0.25">
      <c r="A936" s="89"/>
      <c r="B936" s="191"/>
      <c r="E936" s="94"/>
      <c r="F936" s="94"/>
      <c r="G936" s="94"/>
    </row>
    <row r="937" spans="1:7" x14ac:dyDescent="0.25">
      <c r="A937" s="89"/>
      <c r="B937" s="191"/>
      <c r="E937" s="94"/>
      <c r="F937" s="94"/>
      <c r="G937" s="94"/>
    </row>
    <row r="938" spans="1:7" x14ac:dyDescent="0.25">
      <c r="A938" s="89"/>
      <c r="B938" s="191"/>
      <c r="E938" s="94"/>
      <c r="F938" s="94"/>
      <c r="G938" s="94"/>
    </row>
    <row r="939" spans="1:7" x14ac:dyDescent="0.25">
      <c r="A939" s="89"/>
      <c r="B939" s="191"/>
      <c r="E939" s="94"/>
      <c r="F939" s="94"/>
      <c r="G939" s="94"/>
    </row>
    <row r="940" spans="1:7" x14ac:dyDescent="0.25">
      <c r="A940" s="89"/>
      <c r="B940" s="191"/>
      <c r="E940" s="94"/>
      <c r="F940" s="94"/>
      <c r="G940" s="94"/>
    </row>
    <row r="941" spans="1:7" x14ac:dyDescent="0.25">
      <c r="A941" s="89"/>
      <c r="B941" s="191"/>
      <c r="E941" s="94"/>
      <c r="F941" s="94"/>
      <c r="G941" s="94"/>
    </row>
    <row r="942" spans="1:7" x14ac:dyDescent="0.25">
      <c r="A942" s="89"/>
      <c r="B942" s="191"/>
      <c r="E942" s="94"/>
      <c r="F942" s="94"/>
      <c r="G942" s="94"/>
    </row>
    <row r="943" spans="1:7" x14ac:dyDescent="0.25">
      <c r="A943" s="89"/>
      <c r="B943" s="191"/>
      <c r="E943" s="94"/>
      <c r="F943" s="94"/>
      <c r="G943" s="94"/>
    </row>
    <row r="944" spans="1:7" x14ac:dyDescent="0.25">
      <c r="A944" s="89"/>
      <c r="B944" s="191"/>
      <c r="E944" s="94"/>
      <c r="F944" s="94"/>
      <c r="G944" s="94"/>
    </row>
    <row r="945" spans="1:7" x14ac:dyDescent="0.25">
      <c r="A945" s="89"/>
      <c r="B945" s="191"/>
      <c r="E945" s="94"/>
      <c r="F945" s="94"/>
      <c r="G945" s="94"/>
    </row>
    <row r="946" spans="1:7" x14ac:dyDescent="0.25">
      <c r="A946" s="89"/>
      <c r="B946" s="191"/>
      <c r="E946" s="94"/>
      <c r="F946" s="94"/>
      <c r="G946" s="94"/>
    </row>
    <row r="947" spans="1:7" x14ac:dyDescent="0.25">
      <c r="A947" s="89"/>
      <c r="B947" s="191"/>
      <c r="E947" s="94"/>
      <c r="F947" s="94"/>
      <c r="G947" s="94"/>
    </row>
    <row r="948" spans="1:7" x14ac:dyDescent="0.25">
      <c r="A948" s="89"/>
      <c r="B948" s="191"/>
      <c r="E948" s="94"/>
      <c r="F948" s="94"/>
      <c r="G948" s="94"/>
    </row>
    <row r="949" spans="1:7" x14ac:dyDescent="0.25">
      <c r="A949" s="89"/>
      <c r="B949" s="191"/>
      <c r="E949" s="94"/>
      <c r="F949" s="94"/>
      <c r="G949" s="94"/>
    </row>
    <row r="950" spans="1:7" x14ac:dyDescent="0.25">
      <c r="A950" s="89"/>
      <c r="B950" s="191"/>
      <c r="E950" s="94"/>
      <c r="F950" s="94"/>
      <c r="G950" s="94"/>
    </row>
    <row r="951" spans="1:7" x14ac:dyDescent="0.25">
      <c r="A951" s="89"/>
      <c r="B951" s="191"/>
      <c r="E951" s="94"/>
      <c r="F951" s="94"/>
      <c r="G951" s="94"/>
    </row>
    <row r="952" spans="1:7" x14ac:dyDescent="0.25">
      <c r="A952" s="89"/>
      <c r="B952" s="191"/>
      <c r="E952" s="94"/>
      <c r="F952" s="94"/>
      <c r="G952" s="94"/>
    </row>
    <row r="953" spans="1:7" x14ac:dyDescent="0.25">
      <c r="A953" s="89"/>
      <c r="B953" s="191"/>
      <c r="E953" s="94"/>
      <c r="F953" s="94"/>
      <c r="G953" s="94"/>
    </row>
    <row r="954" spans="1:7" x14ac:dyDescent="0.25">
      <c r="A954" s="89"/>
      <c r="B954" s="191"/>
      <c r="E954" s="94"/>
      <c r="F954" s="94"/>
      <c r="G954" s="94"/>
    </row>
    <row r="955" spans="1:7" x14ac:dyDescent="0.25">
      <c r="A955" s="89"/>
      <c r="B955" s="191"/>
      <c r="E955" s="94"/>
      <c r="F955" s="94"/>
      <c r="G955" s="94"/>
    </row>
    <row r="956" spans="1:7" x14ac:dyDescent="0.25">
      <c r="A956" s="89"/>
      <c r="B956" s="191"/>
      <c r="E956" s="94"/>
      <c r="F956" s="94"/>
      <c r="G956" s="94"/>
    </row>
    <row r="957" spans="1:7" x14ac:dyDescent="0.25">
      <c r="A957" s="89"/>
      <c r="B957" s="191"/>
      <c r="E957" s="94"/>
      <c r="F957" s="94"/>
      <c r="G957" s="94"/>
    </row>
    <row r="958" spans="1:7" x14ac:dyDescent="0.25">
      <c r="A958" s="89"/>
      <c r="B958" s="191"/>
      <c r="E958" s="94"/>
      <c r="F958" s="94"/>
      <c r="G958" s="94"/>
    </row>
    <row r="959" spans="1:7" x14ac:dyDescent="0.25">
      <c r="A959" s="89"/>
      <c r="B959" s="191"/>
      <c r="E959" s="94"/>
      <c r="F959" s="94"/>
      <c r="G959" s="94"/>
    </row>
    <row r="960" spans="1:7" x14ac:dyDescent="0.25">
      <c r="A960" s="89"/>
      <c r="B960" s="191"/>
      <c r="E960" s="94"/>
      <c r="F960" s="94"/>
      <c r="G960" s="94"/>
    </row>
    <row r="961" spans="1:7" x14ac:dyDescent="0.25">
      <c r="A961" s="89"/>
      <c r="B961" s="191"/>
      <c r="E961" s="94"/>
      <c r="F961" s="94"/>
      <c r="G961" s="94"/>
    </row>
    <row r="962" spans="1:7" x14ac:dyDescent="0.25">
      <c r="A962" s="89"/>
      <c r="B962" s="191"/>
      <c r="E962" s="94"/>
      <c r="F962" s="94"/>
      <c r="G962" s="94"/>
    </row>
    <row r="963" spans="1:7" x14ac:dyDescent="0.25">
      <c r="A963" s="89"/>
      <c r="B963" s="191"/>
      <c r="E963" s="94"/>
      <c r="F963" s="94"/>
      <c r="G963" s="94"/>
    </row>
    <row r="964" spans="1:7" x14ac:dyDescent="0.25">
      <c r="A964" s="89"/>
      <c r="B964" s="191"/>
      <c r="E964" s="94"/>
      <c r="F964" s="94"/>
      <c r="G964" s="94"/>
    </row>
    <row r="965" spans="1:7" x14ac:dyDescent="0.25">
      <c r="A965" s="89"/>
      <c r="B965" s="191"/>
      <c r="E965" s="94"/>
      <c r="F965" s="94"/>
      <c r="G965" s="94"/>
    </row>
    <row r="966" spans="1:7" x14ac:dyDescent="0.25">
      <c r="A966" s="89"/>
      <c r="B966" s="191"/>
      <c r="E966" s="94"/>
      <c r="F966" s="94"/>
      <c r="G966" s="94"/>
    </row>
    <row r="967" spans="1:7" x14ac:dyDescent="0.25">
      <c r="A967" s="89"/>
      <c r="B967" s="191"/>
      <c r="E967" s="94"/>
      <c r="F967" s="94"/>
      <c r="G967" s="94"/>
    </row>
    <row r="968" spans="1:7" x14ac:dyDescent="0.25">
      <c r="A968" s="89"/>
      <c r="B968" s="191"/>
      <c r="E968" s="94"/>
      <c r="F968" s="94"/>
      <c r="G968" s="94"/>
    </row>
    <row r="969" spans="1:7" x14ac:dyDescent="0.25">
      <c r="A969" s="89"/>
      <c r="B969" s="191"/>
      <c r="E969" s="94"/>
      <c r="F969" s="94"/>
      <c r="G969" s="94"/>
    </row>
    <row r="970" spans="1:7" x14ac:dyDescent="0.25">
      <c r="A970" s="89"/>
      <c r="B970" s="191"/>
      <c r="E970" s="94"/>
      <c r="F970" s="94"/>
      <c r="G970" s="94"/>
    </row>
    <row r="971" spans="1:7" x14ac:dyDescent="0.25">
      <c r="A971" s="89"/>
      <c r="B971" s="191"/>
      <c r="E971" s="94"/>
      <c r="F971" s="94"/>
      <c r="G971" s="94"/>
    </row>
    <row r="972" spans="1:7" x14ac:dyDescent="0.25">
      <c r="A972" s="89"/>
      <c r="B972" s="191"/>
      <c r="E972" s="94"/>
      <c r="F972" s="94"/>
      <c r="G972" s="94"/>
    </row>
    <row r="973" spans="1:7" x14ac:dyDescent="0.25">
      <c r="A973" s="89"/>
      <c r="B973" s="191"/>
      <c r="E973" s="94"/>
      <c r="F973" s="94"/>
      <c r="G973" s="94"/>
    </row>
    <row r="974" spans="1:7" x14ac:dyDescent="0.25">
      <c r="A974" s="89"/>
      <c r="B974" s="191"/>
      <c r="E974" s="94"/>
      <c r="F974" s="94"/>
      <c r="G974" s="94"/>
    </row>
    <row r="975" spans="1:7" x14ac:dyDescent="0.25">
      <c r="A975" s="89"/>
      <c r="B975" s="191"/>
      <c r="E975" s="94"/>
      <c r="F975" s="94"/>
      <c r="G975" s="94"/>
    </row>
    <row r="976" spans="1:7" x14ac:dyDescent="0.25">
      <c r="A976" s="89"/>
      <c r="B976" s="191"/>
      <c r="E976" s="94"/>
      <c r="F976" s="94"/>
      <c r="G976" s="94"/>
    </row>
    <row r="977" spans="1:7" x14ac:dyDescent="0.25">
      <c r="A977" s="89"/>
      <c r="B977" s="191"/>
      <c r="E977" s="94"/>
      <c r="F977" s="94"/>
      <c r="G977" s="94"/>
    </row>
    <row r="978" spans="1:7" x14ac:dyDescent="0.25">
      <c r="A978" s="89"/>
      <c r="B978" s="191"/>
      <c r="E978" s="94"/>
      <c r="F978" s="94"/>
      <c r="G978" s="94"/>
    </row>
    <row r="979" spans="1:7" x14ac:dyDescent="0.25">
      <c r="A979" s="89"/>
      <c r="B979" s="191"/>
      <c r="E979" s="94"/>
      <c r="F979" s="94"/>
      <c r="G979" s="94"/>
    </row>
    <row r="980" spans="1:7" x14ac:dyDescent="0.25">
      <c r="A980" s="89"/>
      <c r="B980" s="191"/>
      <c r="E980" s="94"/>
      <c r="F980" s="94"/>
      <c r="G980" s="94"/>
    </row>
    <row r="981" spans="1:7" x14ac:dyDescent="0.25">
      <c r="A981" s="89"/>
      <c r="B981" s="191"/>
      <c r="E981" s="94"/>
      <c r="F981" s="94"/>
      <c r="G981" s="94"/>
    </row>
    <row r="982" spans="1:7" x14ac:dyDescent="0.25">
      <c r="A982" s="89"/>
      <c r="B982" s="191"/>
      <c r="E982" s="94"/>
      <c r="F982" s="94"/>
      <c r="G982" s="94"/>
    </row>
    <row r="983" spans="1:7" x14ac:dyDescent="0.25">
      <c r="A983" s="89"/>
      <c r="B983" s="191"/>
      <c r="E983" s="94"/>
      <c r="F983" s="94"/>
      <c r="G983" s="94"/>
    </row>
    <row r="984" spans="1:7" x14ac:dyDescent="0.25">
      <c r="A984" s="89"/>
      <c r="B984" s="191"/>
      <c r="E984" s="94"/>
      <c r="F984" s="94"/>
      <c r="G984" s="94"/>
    </row>
    <row r="985" spans="1:7" x14ac:dyDescent="0.25">
      <c r="A985" s="89"/>
      <c r="B985" s="191"/>
      <c r="E985" s="94"/>
      <c r="F985" s="94"/>
      <c r="G985" s="94"/>
    </row>
    <row r="986" spans="1:7" x14ac:dyDescent="0.25">
      <c r="A986" s="89"/>
      <c r="B986" s="191"/>
      <c r="E986" s="94"/>
      <c r="F986" s="94"/>
      <c r="G986" s="94"/>
    </row>
    <row r="987" spans="1:7" x14ac:dyDescent="0.25">
      <c r="A987" s="89"/>
      <c r="B987" s="191"/>
      <c r="E987" s="94"/>
      <c r="F987" s="94"/>
      <c r="G987" s="94"/>
    </row>
    <row r="988" spans="1:7" x14ac:dyDescent="0.25">
      <c r="A988" s="89"/>
      <c r="B988" s="191"/>
      <c r="E988" s="94"/>
      <c r="F988" s="94"/>
      <c r="G988" s="94"/>
    </row>
    <row r="989" spans="1:7" x14ac:dyDescent="0.25">
      <c r="A989" s="89"/>
      <c r="B989" s="191"/>
      <c r="E989" s="94"/>
      <c r="F989" s="94"/>
      <c r="G989" s="94"/>
    </row>
    <row r="990" spans="1:7" x14ac:dyDescent="0.25">
      <c r="A990" s="89"/>
      <c r="B990" s="191"/>
      <c r="E990" s="94"/>
      <c r="F990" s="94"/>
      <c r="G990" s="94"/>
    </row>
    <row r="991" spans="1:7" x14ac:dyDescent="0.25">
      <c r="A991" s="89"/>
      <c r="B991" s="191"/>
      <c r="E991" s="94"/>
      <c r="F991" s="94"/>
      <c r="G991" s="94"/>
    </row>
    <row r="992" spans="1:7" x14ac:dyDescent="0.25">
      <c r="A992" s="89"/>
      <c r="B992" s="191"/>
      <c r="E992" s="94"/>
      <c r="F992" s="94"/>
      <c r="G992" s="94"/>
    </row>
    <row r="993" spans="1:7" x14ac:dyDescent="0.25">
      <c r="A993" s="89"/>
      <c r="B993" s="191"/>
      <c r="E993" s="94"/>
      <c r="F993" s="94"/>
      <c r="G993" s="94"/>
    </row>
    <row r="994" spans="1:7" x14ac:dyDescent="0.25">
      <c r="A994" s="89"/>
      <c r="B994" s="191"/>
      <c r="E994" s="94"/>
      <c r="F994" s="94"/>
      <c r="G994" s="94"/>
    </row>
    <row r="995" spans="1:7" x14ac:dyDescent="0.25">
      <c r="A995" s="89"/>
      <c r="B995" s="191"/>
      <c r="E995" s="94"/>
      <c r="F995" s="94"/>
      <c r="G995" s="94"/>
    </row>
    <row r="996" spans="1:7" x14ac:dyDescent="0.25">
      <c r="A996" s="89"/>
      <c r="B996" s="191"/>
      <c r="E996" s="94"/>
      <c r="F996" s="94"/>
      <c r="G996" s="94"/>
    </row>
    <row r="997" spans="1:7" x14ac:dyDescent="0.25">
      <c r="A997" s="89"/>
      <c r="B997" s="191"/>
      <c r="E997" s="94"/>
      <c r="F997" s="94"/>
      <c r="G997" s="94"/>
    </row>
    <row r="998" spans="1:7" x14ac:dyDescent="0.25">
      <c r="A998" s="89"/>
      <c r="B998" s="191"/>
      <c r="E998" s="94"/>
      <c r="F998" s="94"/>
      <c r="G998" s="94"/>
    </row>
    <row r="999" spans="1:7" x14ac:dyDescent="0.25">
      <c r="A999" s="89"/>
      <c r="B999" s="191"/>
      <c r="E999" s="94"/>
      <c r="F999" s="94"/>
      <c r="G999" s="94"/>
    </row>
    <row r="1000" spans="1:7" x14ac:dyDescent="0.25">
      <c r="A1000" s="89"/>
      <c r="B1000" s="191"/>
      <c r="E1000" s="94"/>
      <c r="F1000" s="94"/>
      <c r="G1000" s="94"/>
    </row>
    <row r="1001" spans="1:7" x14ac:dyDescent="0.25">
      <c r="A1001" s="89"/>
      <c r="B1001" s="191"/>
      <c r="E1001" s="94"/>
      <c r="F1001" s="94"/>
      <c r="G1001" s="94"/>
    </row>
    <row r="1002" spans="1:7" x14ac:dyDescent="0.25">
      <c r="A1002" s="89"/>
      <c r="B1002" s="191"/>
      <c r="E1002" s="94"/>
      <c r="F1002" s="94"/>
      <c r="G1002" s="94"/>
    </row>
    <row r="1003" spans="1:7" x14ac:dyDescent="0.25">
      <c r="A1003" s="89"/>
      <c r="B1003" s="191"/>
      <c r="E1003" s="94"/>
      <c r="F1003" s="94"/>
      <c r="G1003" s="94"/>
    </row>
    <row r="1004" spans="1:7" x14ac:dyDescent="0.25">
      <c r="A1004" s="89"/>
      <c r="B1004" s="191"/>
      <c r="E1004" s="94"/>
      <c r="F1004" s="94"/>
      <c r="G1004" s="94"/>
    </row>
    <row r="1005" spans="1:7" x14ac:dyDescent="0.25">
      <c r="A1005" s="89"/>
      <c r="B1005" s="191"/>
      <c r="E1005" s="94"/>
      <c r="F1005" s="94"/>
      <c r="G1005" s="94"/>
    </row>
    <row r="1006" spans="1:7" x14ac:dyDescent="0.25">
      <c r="A1006" s="89"/>
      <c r="B1006" s="191"/>
      <c r="E1006" s="94"/>
      <c r="F1006" s="94"/>
      <c r="G1006" s="94"/>
    </row>
    <row r="1007" spans="1:7" x14ac:dyDescent="0.25">
      <c r="A1007" s="89"/>
      <c r="B1007" s="191"/>
      <c r="E1007" s="94"/>
      <c r="F1007" s="94"/>
      <c r="G1007" s="94"/>
    </row>
    <row r="1008" spans="1:7" x14ac:dyDescent="0.25">
      <c r="A1008" s="89"/>
      <c r="B1008" s="191"/>
      <c r="E1008" s="94"/>
      <c r="F1008" s="94"/>
      <c r="G1008" s="94"/>
    </row>
    <row r="1009" spans="1:7" x14ac:dyDescent="0.25">
      <c r="A1009" s="89"/>
      <c r="B1009" s="191"/>
      <c r="E1009" s="94"/>
      <c r="F1009" s="94"/>
      <c r="G1009" s="94"/>
    </row>
    <row r="1010" spans="1:7" x14ac:dyDescent="0.25">
      <c r="A1010" s="89"/>
      <c r="B1010" s="191"/>
      <c r="E1010" s="94"/>
      <c r="F1010" s="94"/>
      <c r="G1010" s="94"/>
    </row>
    <row r="1011" spans="1:7" x14ac:dyDescent="0.25">
      <c r="A1011" s="89"/>
      <c r="B1011" s="191"/>
      <c r="E1011" s="94"/>
      <c r="F1011" s="94"/>
      <c r="G1011" s="94"/>
    </row>
    <row r="1012" spans="1:7" x14ac:dyDescent="0.25">
      <c r="A1012" s="89"/>
      <c r="B1012" s="191"/>
      <c r="E1012" s="94"/>
      <c r="F1012" s="94"/>
      <c r="G1012" s="94"/>
    </row>
    <row r="1013" spans="1:7" x14ac:dyDescent="0.25">
      <c r="A1013" s="89"/>
      <c r="B1013" s="191"/>
      <c r="E1013" s="94"/>
      <c r="F1013" s="94"/>
      <c r="G1013" s="94"/>
    </row>
    <row r="1014" spans="1:7" x14ac:dyDescent="0.25">
      <c r="A1014" s="89"/>
      <c r="B1014" s="191"/>
      <c r="E1014" s="94"/>
      <c r="F1014" s="94"/>
      <c r="G1014" s="94"/>
    </row>
    <row r="1015" spans="1:7" x14ac:dyDescent="0.25">
      <c r="A1015" s="89"/>
      <c r="B1015" s="191"/>
      <c r="E1015" s="94"/>
      <c r="F1015" s="94"/>
      <c r="G1015" s="94"/>
    </row>
    <row r="1016" spans="1:7" x14ac:dyDescent="0.25">
      <c r="A1016" s="89"/>
      <c r="B1016" s="191"/>
      <c r="E1016" s="94"/>
      <c r="F1016" s="94"/>
      <c r="G1016" s="94"/>
    </row>
    <row r="1017" spans="1:7" x14ac:dyDescent="0.25">
      <c r="A1017" s="89"/>
      <c r="B1017" s="191"/>
      <c r="E1017" s="94"/>
      <c r="F1017" s="94"/>
      <c r="G1017" s="94"/>
    </row>
    <row r="1018" spans="1:7" x14ac:dyDescent="0.25">
      <c r="A1018" s="89"/>
      <c r="B1018" s="191"/>
      <c r="E1018" s="94"/>
      <c r="F1018" s="94"/>
      <c r="G1018" s="94"/>
    </row>
    <row r="1019" spans="1:7" x14ac:dyDescent="0.25">
      <c r="A1019" s="89"/>
      <c r="B1019" s="191"/>
      <c r="E1019" s="94"/>
      <c r="F1019" s="94"/>
      <c r="G1019" s="94"/>
    </row>
    <row r="1020" spans="1:7" x14ac:dyDescent="0.25">
      <c r="A1020" s="89"/>
      <c r="B1020" s="191"/>
      <c r="E1020" s="94"/>
      <c r="F1020" s="94"/>
      <c r="G1020" s="94"/>
    </row>
    <row r="1021" spans="1:7" x14ac:dyDescent="0.25">
      <c r="A1021" s="89"/>
      <c r="B1021" s="191"/>
      <c r="E1021" s="94"/>
      <c r="F1021" s="94"/>
      <c r="G1021" s="94"/>
    </row>
    <row r="1022" spans="1:7" x14ac:dyDescent="0.25">
      <c r="A1022" s="89"/>
      <c r="B1022" s="191"/>
      <c r="E1022" s="94"/>
      <c r="F1022" s="94"/>
      <c r="G1022" s="94"/>
    </row>
    <row r="1023" spans="1:7" x14ac:dyDescent="0.25">
      <c r="A1023" s="89"/>
      <c r="B1023" s="191"/>
      <c r="E1023" s="94"/>
      <c r="F1023" s="94"/>
      <c r="G1023" s="94"/>
    </row>
    <row r="1024" spans="1:7" x14ac:dyDescent="0.25">
      <c r="A1024" s="89"/>
      <c r="B1024" s="191"/>
      <c r="E1024" s="94"/>
      <c r="F1024" s="94"/>
      <c r="G1024" s="94"/>
    </row>
    <row r="1025" spans="1:7" x14ac:dyDescent="0.25">
      <c r="A1025" s="89"/>
      <c r="B1025" s="191"/>
      <c r="E1025" s="94"/>
      <c r="F1025" s="94"/>
      <c r="G1025" s="94"/>
    </row>
    <row r="1026" spans="1:7" x14ac:dyDescent="0.25">
      <c r="A1026" s="89"/>
      <c r="B1026" s="191"/>
      <c r="E1026" s="94"/>
      <c r="F1026" s="94"/>
      <c r="G1026" s="94"/>
    </row>
    <row r="1027" spans="1:7" x14ac:dyDescent="0.25">
      <c r="A1027" s="89"/>
      <c r="B1027" s="191"/>
      <c r="E1027" s="94"/>
      <c r="F1027" s="94"/>
      <c r="G1027" s="94"/>
    </row>
    <row r="1028" spans="1:7" x14ac:dyDescent="0.25">
      <c r="A1028" s="89"/>
      <c r="B1028" s="191"/>
      <c r="E1028" s="94"/>
      <c r="F1028" s="94"/>
      <c r="G1028" s="94"/>
    </row>
    <row r="1029" spans="1:7" x14ac:dyDescent="0.25">
      <c r="A1029" s="89"/>
      <c r="B1029" s="191"/>
      <c r="E1029" s="94"/>
      <c r="F1029" s="94"/>
      <c r="G1029" s="94"/>
    </row>
    <row r="1030" spans="1:7" x14ac:dyDescent="0.25">
      <c r="A1030" s="89"/>
      <c r="B1030" s="191"/>
      <c r="E1030" s="94"/>
      <c r="F1030" s="94"/>
      <c r="G1030" s="94"/>
    </row>
    <row r="1031" spans="1:7" x14ac:dyDescent="0.25">
      <c r="A1031" s="89"/>
      <c r="B1031" s="191"/>
      <c r="E1031" s="94"/>
      <c r="F1031" s="94"/>
      <c r="G1031" s="94"/>
    </row>
    <row r="1032" spans="1:7" x14ac:dyDescent="0.25">
      <c r="A1032" s="89"/>
      <c r="B1032" s="191"/>
      <c r="E1032" s="94"/>
      <c r="F1032" s="94"/>
      <c r="G1032" s="94"/>
    </row>
    <row r="1033" spans="1:7" x14ac:dyDescent="0.25">
      <c r="A1033" s="89"/>
      <c r="B1033" s="191"/>
      <c r="E1033" s="94"/>
      <c r="F1033" s="94"/>
      <c r="G1033" s="94"/>
    </row>
    <row r="1034" spans="1:7" x14ac:dyDescent="0.25">
      <c r="A1034" s="89"/>
      <c r="B1034" s="191"/>
      <c r="E1034" s="94"/>
      <c r="F1034" s="94"/>
      <c r="G1034" s="94"/>
    </row>
    <row r="1035" spans="1:7" x14ac:dyDescent="0.25">
      <c r="A1035" s="89"/>
      <c r="B1035" s="191"/>
      <c r="E1035" s="94"/>
      <c r="F1035" s="94"/>
      <c r="G1035" s="94"/>
    </row>
    <row r="1036" spans="1:7" x14ac:dyDescent="0.25">
      <c r="A1036" s="89"/>
      <c r="B1036" s="191"/>
      <c r="E1036" s="94"/>
      <c r="F1036" s="94"/>
      <c r="G1036" s="94"/>
    </row>
    <row r="1037" spans="1:7" x14ac:dyDescent="0.25">
      <c r="A1037" s="89"/>
      <c r="B1037" s="191"/>
      <c r="E1037" s="94"/>
      <c r="F1037" s="94"/>
      <c r="G1037" s="94"/>
    </row>
    <row r="1038" spans="1:7" x14ac:dyDescent="0.25">
      <c r="A1038" s="89"/>
      <c r="B1038" s="191"/>
      <c r="E1038" s="94"/>
      <c r="F1038" s="94"/>
      <c r="G1038" s="94"/>
    </row>
    <row r="1039" spans="1:7" x14ac:dyDescent="0.25">
      <c r="A1039" s="89"/>
      <c r="B1039" s="191"/>
      <c r="E1039" s="94"/>
      <c r="F1039" s="94"/>
      <c r="G1039" s="94"/>
    </row>
    <row r="1040" spans="1:7" x14ac:dyDescent="0.25">
      <c r="A1040" s="89"/>
      <c r="B1040" s="191"/>
      <c r="E1040" s="94"/>
      <c r="F1040" s="94"/>
      <c r="G1040" s="94"/>
    </row>
    <row r="1041" spans="1:7" x14ac:dyDescent="0.25">
      <c r="A1041" s="89"/>
      <c r="B1041" s="191"/>
      <c r="E1041" s="94"/>
      <c r="F1041" s="94"/>
      <c r="G1041" s="94"/>
    </row>
    <row r="1042" spans="1:7" x14ac:dyDescent="0.25">
      <c r="A1042" s="89"/>
      <c r="B1042" s="191"/>
      <c r="E1042" s="94"/>
      <c r="F1042" s="94"/>
      <c r="G1042" s="94"/>
    </row>
    <row r="1043" spans="1:7" x14ac:dyDescent="0.25">
      <c r="A1043" s="89"/>
      <c r="B1043" s="191"/>
      <c r="E1043" s="94"/>
      <c r="F1043" s="94"/>
      <c r="G1043" s="94"/>
    </row>
    <row r="1044" spans="1:7" x14ac:dyDescent="0.25">
      <c r="A1044" s="89"/>
      <c r="B1044" s="191"/>
      <c r="E1044" s="94"/>
      <c r="F1044" s="94"/>
      <c r="G1044" s="94"/>
    </row>
    <row r="1045" spans="1:7" x14ac:dyDescent="0.25">
      <c r="A1045" s="89"/>
      <c r="B1045" s="191"/>
      <c r="E1045" s="94"/>
      <c r="F1045" s="94"/>
      <c r="G1045" s="94"/>
    </row>
    <row r="1046" spans="1:7" x14ac:dyDescent="0.25">
      <c r="A1046" s="89"/>
      <c r="B1046" s="191"/>
      <c r="E1046" s="94"/>
      <c r="F1046" s="94"/>
      <c r="G1046" s="94"/>
    </row>
    <row r="1047" spans="1:7" x14ac:dyDescent="0.25">
      <c r="A1047" s="89"/>
      <c r="B1047" s="191"/>
      <c r="E1047" s="94"/>
      <c r="F1047" s="94"/>
      <c r="G1047" s="94"/>
    </row>
    <row r="1048" spans="1:7" x14ac:dyDescent="0.25">
      <c r="A1048" s="89"/>
      <c r="B1048" s="191"/>
      <c r="E1048" s="94"/>
      <c r="F1048" s="94"/>
      <c r="G1048" s="94"/>
    </row>
    <row r="1049" spans="1:7" x14ac:dyDescent="0.25">
      <c r="A1049" s="89"/>
      <c r="B1049" s="191"/>
      <c r="E1049" s="94"/>
      <c r="F1049" s="94"/>
      <c r="G1049" s="94"/>
    </row>
    <row r="1050" spans="1:7" x14ac:dyDescent="0.25">
      <c r="A1050" s="89"/>
      <c r="B1050" s="191"/>
      <c r="E1050" s="94"/>
      <c r="F1050" s="94"/>
      <c r="G1050" s="94"/>
    </row>
    <row r="1051" spans="1:7" x14ac:dyDescent="0.25">
      <c r="A1051" s="89"/>
      <c r="B1051" s="191"/>
      <c r="E1051" s="94"/>
      <c r="F1051" s="94"/>
      <c r="G1051" s="94"/>
    </row>
    <row r="1052" spans="1:7" x14ac:dyDescent="0.25">
      <c r="A1052" s="89"/>
      <c r="B1052" s="191"/>
      <c r="E1052" s="94"/>
      <c r="F1052" s="94"/>
      <c r="G1052" s="94"/>
    </row>
    <row r="1053" spans="1:7" x14ac:dyDescent="0.25">
      <c r="A1053" s="89"/>
      <c r="B1053" s="191"/>
      <c r="E1053" s="94"/>
      <c r="F1053" s="94"/>
      <c r="G1053" s="94"/>
    </row>
    <row r="1054" spans="1:7" x14ac:dyDescent="0.25">
      <c r="A1054" s="89"/>
      <c r="B1054" s="191"/>
      <c r="E1054" s="94"/>
      <c r="F1054" s="94"/>
      <c r="G1054" s="94"/>
    </row>
    <row r="1055" spans="1:7" x14ac:dyDescent="0.25">
      <c r="A1055" s="89"/>
      <c r="B1055" s="191"/>
      <c r="E1055" s="94"/>
      <c r="F1055" s="94"/>
      <c r="G1055" s="94"/>
    </row>
    <row r="1056" spans="1:7" x14ac:dyDescent="0.25">
      <c r="A1056" s="89"/>
      <c r="B1056" s="191"/>
      <c r="E1056" s="94"/>
      <c r="F1056" s="94"/>
      <c r="G1056" s="94"/>
    </row>
    <row r="1057" spans="1:7" x14ac:dyDescent="0.25">
      <c r="A1057" s="89"/>
      <c r="B1057" s="191"/>
      <c r="E1057" s="94"/>
      <c r="F1057" s="94"/>
      <c r="G1057" s="94"/>
    </row>
    <row r="1058" spans="1:7" x14ac:dyDescent="0.25">
      <c r="A1058" s="89"/>
      <c r="B1058" s="191"/>
      <c r="E1058" s="94"/>
      <c r="F1058" s="94"/>
      <c r="G1058" s="94"/>
    </row>
    <row r="1059" spans="1:7" x14ac:dyDescent="0.25">
      <c r="A1059" s="89"/>
      <c r="B1059" s="191"/>
      <c r="E1059" s="94"/>
      <c r="F1059" s="94"/>
      <c r="G1059" s="94"/>
    </row>
    <row r="1060" spans="1:7" x14ac:dyDescent="0.25">
      <c r="A1060" s="89"/>
      <c r="B1060" s="191"/>
      <c r="E1060" s="94"/>
      <c r="F1060" s="94"/>
      <c r="G1060" s="94"/>
    </row>
    <row r="1061" spans="1:7" x14ac:dyDescent="0.25">
      <c r="A1061" s="89"/>
      <c r="B1061" s="191"/>
      <c r="E1061" s="94"/>
      <c r="F1061" s="94"/>
      <c r="G1061" s="94"/>
    </row>
    <row r="1062" spans="1:7" x14ac:dyDescent="0.25">
      <c r="A1062" s="89"/>
      <c r="B1062" s="191"/>
      <c r="E1062" s="94"/>
      <c r="F1062" s="94"/>
      <c r="G1062" s="94"/>
    </row>
    <row r="1063" spans="1:7" x14ac:dyDescent="0.25">
      <c r="A1063" s="89"/>
      <c r="B1063" s="191"/>
      <c r="E1063" s="94"/>
      <c r="F1063" s="94"/>
      <c r="G1063" s="94"/>
    </row>
    <row r="1064" spans="1:7" x14ac:dyDescent="0.25">
      <c r="A1064" s="89"/>
      <c r="B1064" s="191"/>
      <c r="E1064" s="94"/>
      <c r="F1064" s="94"/>
      <c r="G1064" s="94"/>
    </row>
    <row r="1065" spans="1:7" x14ac:dyDescent="0.25">
      <c r="A1065" s="89"/>
      <c r="B1065" s="191"/>
      <c r="E1065" s="94"/>
      <c r="F1065" s="94"/>
      <c r="G1065" s="94"/>
    </row>
    <row r="1066" spans="1:7" x14ac:dyDescent="0.25">
      <c r="A1066" s="89"/>
      <c r="B1066" s="191"/>
      <c r="E1066" s="94"/>
      <c r="F1066" s="94"/>
      <c r="G1066" s="94"/>
    </row>
    <row r="1067" spans="1:7" x14ac:dyDescent="0.25">
      <c r="A1067" s="89"/>
      <c r="B1067" s="191"/>
      <c r="E1067" s="94"/>
      <c r="F1067" s="94"/>
      <c r="G1067" s="94"/>
    </row>
    <row r="1068" spans="1:7" x14ac:dyDescent="0.25">
      <c r="A1068" s="89"/>
      <c r="B1068" s="191"/>
      <c r="E1068" s="94"/>
      <c r="F1068" s="94"/>
      <c r="G1068" s="94"/>
    </row>
    <row r="1069" spans="1:7" x14ac:dyDescent="0.25">
      <c r="A1069" s="89"/>
      <c r="B1069" s="191"/>
      <c r="E1069" s="94"/>
      <c r="F1069" s="94"/>
      <c r="G1069" s="94"/>
    </row>
    <row r="1070" spans="1:7" x14ac:dyDescent="0.25">
      <c r="A1070" s="89"/>
      <c r="B1070" s="191"/>
      <c r="E1070" s="94"/>
      <c r="F1070" s="94"/>
      <c r="G1070" s="94"/>
    </row>
    <row r="1071" spans="1:7" x14ac:dyDescent="0.25">
      <c r="A1071" s="89"/>
      <c r="B1071" s="191"/>
      <c r="E1071" s="94"/>
      <c r="F1071" s="94"/>
      <c r="G1071" s="94"/>
    </row>
    <row r="1072" spans="1:7" x14ac:dyDescent="0.25">
      <c r="A1072" s="89"/>
      <c r="B1072" s="191"/>
      <c r="E1072" s="94"/>
      <c r="F1072" s="94"/>
      <c r="G1072" s="94"/>
    </row>
    <row r="1073" spans="1:7" x14ac:dyDescent="0.25">
      <c r="A1073" s="89"/>
      <c r="B1073" s="191"/>
      <c r="E1073" s="94"/>
      <c r="F1073" s="94"/>
      <c r="G1073" s="94"/>
    </row>
    <row r="1074" spans="1:7" x14ac:dyDescent="0.25">
      <c r="A1074" s="89"/>
      <c r="B1074" s="191"/>
      <c r="E1074" s="94"/>
      <c r="F1074" s="94"/>
      <c r="G1074" s="94"/>
    </row>
    <row r="1075" spans="1:7" x14ac:dyDescent="0.25">
      <c r="A1075" s="89"/>
      <c r="B1075" s="191"/>
      <c r="E1075" s="94"/>
      <c r="F1075" s="94"/>
      <c r="G1075" s="94"/>
    </row>
    <row r="1076" spans="1:7" x14ac:dyDescent="0.25">
      <c r="A1076" s="89"/>
      <c r="B1076" s="191"/>
      <c r="E1076" s="94"/>
      <c r="F1076" s="94"/>
      <c r="G1076" s="94"/>
    </row>
    <row r="1077" spans="1:7" x14ac:dyDescent="0.25">
      <c r="A1077" s="89"/>
      <c r="B1077" s="191"/>
      <c r="E1077" s="94"/>
      <c r="F1077" s="94"/>
      <c r="G1077" s="94"/>
    </row>
    <row r="1078" spans="1:7" x14ac:dyDescent="0.25">
      <c r="A1078" s="89"/>
      <c r="B1078" s="191"/>
      <c r="E1078" s="94"/>
      <c r="F1078" s="94"/>
      <c r="G1078" s="94"/>
    </row>
    <row r="1079" spans="1:7" x14ac:dyDescent="0.25">
      <c r="A1079" s="89"/>
      <c r="B1079" s="191"/>
      <c r="E1079" s="94"/>
      <c r="F1079" s="94"/>
      <c r="G1079" s="94"/>
    </row>
    <row r="1080" spans="1:7" x14ac:dyDescent="0.25">
      <c r="A1080" s="89"/>
      <c r="B1080" s="191"/>
      <c r="E1080" s="94"/>
      <c r="F1080" s="94"/>
      <c r="G1080" s="94"/>
    </row>
    <row r="1081" spans="1:7" x14ac:dyDescent="0.25">
      <c r="A1081" s="89"/>
      <c r="B1081" s="191"/>
      <c r="E1081" s="94"/>
      <c r="F1081" s="94"/>
      <c r="G1081" s="94"/>
    </row>
    <row r="1082" spans="1:7" x14ac:dyDescent="0.25">
      <c r="A1082" s="89"/>
      <c r="B1082" s="191"/>
      <c r="E1082" s="94"/>
      <c r="F1082" s="94"/>
      <c r="G1082" s="94"/>
    </row>
    <row r="1083" spans="1:7" x14ac:dyDescent="0.25">
      <c r="A1083" s="89"/>
      <c r="B1083" s="191"/>
      <c r="E1083" s="94"/>
      <c r="F1083" s="94"/>
      <c r="G1083" s="94"/>
    </row>
    <row r="1084" spans="1:7" x14ac:dyDescent="0.25">
      <c r="A1084" s="89"/>
      <c r="B1084" s="191"/>
      <c r="E1084" s="94"/>
      <c r="F1084" s="94"/>
      <c r="G1084" s="94"/>
    </row>
    <row r="1085" spans="1:7" x14ac:dyDescent="0.25">
      <c r="A1085" s="89"/>
      <c r="B1085" s="191"/>
      <c r="E1085" s="94"/>
      <c r="F1085" s="94"/>
      <c r="G1085" s="94"/>
    </row>
    <row r="1086" spans="1:7" x14ac:dyDescent="0.25">
      <c r="A1086" s="89"/>
      <c r="B1086" s="191"/>
      <c r="E1086" s="94"/>
      <c r="F1086" s="94"/>
      <c r="G1086" s="94"/>
    </row>
    <row r="1087" spans="1:7" x14ac:dyDescent="0.25">
      <c r="A1087" s="89"/>
      <c r="B1087" s="191"/>
      <c r="E1087" s="94"/>
      <c r="F1087" s="94"/>
      <c r="G1087" s="94"/>
    </row>
    <row r="1088" spans="1:7" x14ac:dyDescent="0.25">
      <c r="A1088" s="89"/>
      <c r="B1088" s="191"/>
      <c r="E1088" s="94"/>
      <c r="F1088" s="94"/>
      <c r="G1088" s="94"/>
    </row>
    <row r="1089" spans="1:7" x14ac:dyDescent="0.25">
      <c r="A1089" s="89"/>
      <c r="B1089" s="191"/>
      <c r="E1089" s="94"/>
      <c r="F1089" s="94"/>
      <c r="G1089" s="94"/>
    </row>
    <row r="1090" spans="1:7" x14ac:dyDescent="0.25">
      <c r="A1090" s="89"/>
      <c r="B1090" s="191"/>
      <c r="E1090" s="94"/>
      <c r="F1090" s="94"/>
      <c r="G1090" s="94"/>
    </row>
    <row r="1091" spans="1:7" x14ac:dyDescent="0.25">
      <c r="A1091" s="89"/>
      <c r="B1091" s="191"/>
      <c r="E1091" s="94"/>
      <c r="F1091" s="94"/>
      <c r="G1091" s="94"/>
    </row>
    <row r="1092" spans="1:7" x14ac:dyDescent="0.25">
      <c r="A1092" s="89"/>
      <c r="B1092" s="191"/>
      <c r="E1092" s="94"/>
      <c r="F1092" s="94"/>
      <c r="G1092" s="94"/>
    </row>
    <row r="1093" spans="1:7" x14ac:dyDescent="0.25">
      <c r="A1093" s="89"/>
      <c r="B1093" s="191"/>
      <c r="E1093" s="94"/>
      <c r="F1093" s="94"/>
      <c r="G1093" s="94"/>
    </row>
    <row r="1094" spans="1:7" x14ac:dyDescent="0.25">
      <c r="A1094" s="89"/>
      <c r="B1094" s="191"/>
      <c r="E1094" s="94"/>
      <c r="F1094" s="94"/>
      <c r="G1094" s="94"/>
    </row>
    <row r="1095" spans="1:7" x14ac:dyDescent="0.25">
      <c r="A1095" s="89"/>
      <c r="B1095" s="191"/>
      <c r="E1095" s="94"/>
      <c r="F1095" s="94"/>
      <c r="G1095" s="94"/>
    </row>
    <row r="1096" spans="1:7" x14ac:dyDescent="0.25">
      <c r="A1096" s="89"/>
      <c r="B1096" s="191"/>
      <c r="E1096" s="94"/>
      <c r="F1096" s="94"/>
      <c r="G1096" s="94"/>
    </row>
    <row r="1097" spans="1:7" x14ac:dyDescent="0.25">
      <c r="A1097" s="89"/>
      <c r="B1097" s="191"/>
      <c r="E1097" s="94"/>
      <c r="F1097" s="94"/>
      <c r="G1097" s="94"/>
    </row>
    <row r="1098" spans="1:7" x14ac:dyDescent="0.25">
      <c r="A1098" s="89"/>
      <c r="B1098" s="191"/>
      <c r="E1098" s="94"/>
      <c r="F1098" s="94"/>
      <c r="G1098" s="94"/>
    </row>
    <row r="1099" spans="1:7" x14ac:dyDescent="0.25">
      <c r="A1099" s="89"/>
      <c r="B1099" s="191"/>
      <c r="E1099" s="94"/>
      <c r="F1099" s="94"/>
      <c r="G1099" s="94"/>
    </row>
    <row r="1100" spans="1:7" x14ac:dyDescent="0.25">
      <c r="A1100" s="89"/>
      <c r="B1100" s="191"/>
      <c r="E1100" s="94"/>
      <c r="F1100" s="94"/>
      <c r="G1100" s="94"/>
    </row>
    <row r="1101" spans="1:7" x14ac:dyDescent="0.25">
      <c r="A1101" s="89"/>
      <c r="B1101" s="191"/>
      <c r="E1101" s="94"/>
      <c r="F1101" s="94"/>
      <c r="G1101" s="94"/>
    </row>
    <row r="1102" spans="1:7" x14ac:dyDescent="0.25">
      <c r="A1102" s="89"/>
      <c r="B1102" s="191"/>
      <c r="E1102" s="94"/>
      <c r="F1102" s="94"/>
      <c r="G1102" s="94"/>
    </row>
    <row r="1103" spans="1:7" x14ac:dyDescent="0.25">
      <c r="A1103" s="89"/>
      <c r="B1103" s="191"/>
      <c r="E1103" s="94"/>
      <c r="F1103" s="94"/>
      <c r="G1103" s="94"/>
    </row>
    <row r="1104" spans="1:7" x14ac:dyDescent="0.25">
      <c r="A1104" s="89"/>
      <c r="B1104" s="191"/>
      <c r="E1104" s="94"/>
      <c r="F1104" s="94"/>
      <c r="G1104" s="94"/>
    </row>
    <row r="1105" spans="1:7" x14ac:dyDescent="0.25">
      <c r="A1105" s="89"/>
      <c r="B1105" s="191"/>
      <c r="E1105" s="94"/>
      <c r="F1105" s="94"/>
      <c r="G1105" s="94"/>
    </row>
    <row r="1106" spans="1:7" x14ac:dyDescent="0.25">
      <c r="A1106" s="89"/>
      <c r="B1106" s="191"/>
      <c r="E1106" s="94"/>
      <c r="F1106" s="94"/>
      <c r="G1106" s="94"/>
    </row>
    <row r="1107" spans="1:7" x14ac:dyDescent="0.25">
      <c r="A1107" s="89"/>
      <c r="B1107" s="191"/>
      <c r="E1107" s="94"/>
      <c r="F1107" s="94"/>
      <c r="G1107" s="94"/>
    </row>
    <row r="1108" spans="1:7" x14ac:dyDescent="0.25">
      <c r="A1108" s="89"/>
      <c r="B1108" s="191"/>
      <c r="E1108" s="94"/>
      <c r="F1108" s="94"/>
      <c r="G1108" s="94"/>
    </row>
    <row r="1109" spans="1:7" x14ac:dyDescent="0.25">
      <c r="A1109" s="89"/>
      <c r="B1109" s="191"/>
      <c r="E1109" s="94"/>
      <c r="F1109" s="94"/>
      <c r="G1109" s="94"/>
    </row>
    <row r="1110" spans="1:7" x14ac:dyDescent="0.25">
      <c r="A1110" s="89"/>
      <c r="B1110" s="191"/>
      <c r="E1110" s="94"/>
      <c r="F1110" s="94"/>
      <c r="G1110" s="94"/>
    </row>
    <row r="1111" spans="1:7" x14ac:dyDescent="0.25">
      <c r="A1111" s="89"/>
      <c r="B1111" s="191"/>
      <c r="E1111" s="94"/>
      <c r="F1111" s="94"/>
      <c r="G1111" s="94"/>
    </row>
    <row r="1112" spans="1:7" x14ac:dyDescent="0.25">
      <c r="A1112" s="89"/>
      <c r="B1112" s="191"/>
      <c r="E1112" s="94"/>
      <c r="F1112" s="94"/>
      <c r="G1112" s="94"/>
    </row>
    <row r="1113" spans="1:7" x14ac:dyDescent="0.25">
      <c r="A1113" s="89"/>
      <c r="B1113" s="191"/>
      <c r="E1113" s="94"/>
      <c r="F1113" s="94"/>
      <c r="G1113" s="94"/>
    </row>
    <row r="1114" spans="1:7" x14ac:dyDescent="0.25">
      <c r="A1114" s="89"/>
      <c r="B1114" s="191"/>
      <c r="E1114" s="94"/>
      <c r="F1114" s="94"/>
      <c r="G1114" s="94"/>
    </row>
    <row r="1115" spans="1:7" x14ac:dyDescent="0.25">
      <c r="A1115" s="89"/>
      <c r="B1115" s="191"/>
      <c r="E1115" s="94"/>
      <c r="F1115" s="94"/>
      <c r="G1115" s="94"/>
    </row>
    <row r="1116" spans="1:7" x14ac:dyDescent="0.25">
      <c r="A1116" s="89"/>
      <c r="B1116" s="191"/>
      <c r="E1116" s="94"/>
      <c r="F1116" s="94"/>
      <c r="G1116" s="94"/>
    </row>
    <row r="1117" spans="1:7" x14ac:dyDescent="0.25">
      <c r="A1117" s="89"/>
      <c r="B1117" s="191"/>
      <c r="E1117" s="94"/>
      <c r="F1117" s="94"/>
      <c r="G1117" s="94"/>
    </row>
    <row r="1118" spans="1:7" x14ac:dyDescent="0.25">
      <c r="A1118" s="89"/>
      <c r="B1118" s="191"/>
      <c r="E1118" s="94"/>
      <c r="F1118" s="94"/>
      <c r="G1118" s="94"/>
    </row>
    <row r="1119" spans="1:7" x14ac:dyDescent="0.25">
      <c r="A1119" s="89"/>
      <c r="B1119" s="191"/>
      <c r="E1119" s="94"/>
      <c r="F1119" s="94"/>
      <c r="G1119" s="94"/>
    </row>
    <row r="1120" spans="1:7" x14ac:dyDescent="0.25">
      <c r="A1120" s="89"/>
      <c r="B1120" s="191"/>
      <c r="E1120" s="94"/>
      <c r="F1120" s="94"/>
      <c r="G1120" s="94"/>
    </row>
    <row r="1121" spans="1:7" x14ac:dyDescent="0.25">
      <c r="A1121" s="89"/>
      <c r="B1121" s="191"/>
      <c r="E1121" s="94"/>
      <c r="F1121" s="94"/>
      <c r="G1121" s="94"/>
    </row>
    <row r="1122" spans="1:7" x14ac:dyDescent="0.25">
      <c r="A1122" s="89"/>
      <c r="B1122" s="191"/>
      <c r="E1122" s="94"/>
      <c r="F1122" s="94"/>
      <c r="G1122" s="94"/>
    </row>
    <row r="1123" spans="1:7" x14ac:dyDescent="0.25">
      <c r="A1123" s="89"/>
      <c r="B1123" s="191"/>
      <c r="E1123" s="94"/>
      <c r="F1123" s="94"/>
      <c r="G1123" s="94"/>
    </row>
    <row r="1124" spans="1:7" x14ac:dyDescent="0.25">
      <c r="A1124" s="89"/>
      <c r="B1124" s="191"/>
      <c r="E1124" s="94"/>
      <c r="F1124" s="94"/>
      <c r="G1124" s="94"/>
    </row>
    <row r="1125" spans="1:7" x14ac:dyDescent="0.25">
      <c r="A1125" s="89"/>
      <c r="B1125" s="191"/>
      <c r="E1125" s="94"/>
      <c r="F1125" s="94"/>
      <c r="G1125" s="94"/>
    </row>
    <row r="1126" spans="1:7" x14ac:dyDescent="0.25">
      <c r="A1126" s="89"/>
      <c r="B1126" s="191"/>
      <c r="E1126" s="94"/>
      <c r="F1126" s="94"/>
      <c r="G1126" s="94"/>
    </row>
    <row r="1127" spans="1:7" x14ac:dyDescent="0.25">
      <c r="A1127" s="89"/>
      <c r="B1127" s="191"/>
      <c r="E1127" s="94"/>
      <c r="F1127" s="94"/>
      <c r="G1127" s="94"/>
    </row>
    <row r="1128" spans="1:7" x14ac:dyDescent="0.25">
      <c r="A1128" s="89"/>
      <c r="B1128" s="191"/>
      <c r="E1128" s="94"/>
      <c r="F1128" s="94"/>
      <c r="G1128" s="94"/>
    </row>
    <row r="1129" spans="1:7" x14ac:dyDescent="0.25">
      <c r="A1129" s="89"/>
      <c r="B1129" s="191"/>
      <c r="E1129" s="94"/>
      <c r="F1129" s="94"/>
      <c r="G1129" s="94"/>
    </row>
    <row r="1130" spans="1:7" x14ac:dyDescent="0.25">
      <c r="A1130" s="89"/>
      <c r="B1130" s="191"/>
      <c r="E1130" s="94"/>
      <c r="F1130" s="94"/>
      <c r="G1130" s="94"/>
    </row>
    <row r="1131" spans="1:7" x14ac:dyDescent="0.25">
      <c r="A1131" s="89"/>
      <c r="B1131" s="191"/>
      <c r="E1131" s="94"/>
      <c r="F1131" s="94"/>
      <c r="G1131" s="94"/>
    </row>
    <row r="1132" spans="1:7" x14ac:dyDescent="0.25">
      <c r="A1132" s="89"/>
      <c r="B1132" s="191"/>
      <c r="E1132" s="94"/>
      <c r="F1132" s="94"/>
      <c r="G1132" s="94"/>
    </row>
    <row r="1133" spans="1:7" x14ac:dyDescent="0.25">
      <c r="A1133" s="89"/>
      <c r="B1133" s="191"/>
      <c r="E1133" s="94"/>
      <c r="F1133" s="94"/>
      <c r="G1133" s="94"/>
    </row>
    <row r="1134" spans="1:7" x14ac:dyDescent="0.25">
      <c r="A1134" s="89"/>
      <c r="B1134" s="191"/>
      <c r="E1134" s="94"/>
      <c r="F1134" s="94"/>
      <c r="G1134" s="94"/>
    </row>
    <row r="1135" spans="1:7" x14ac:dyDescent="0.25">
      <c r="A1135" s="89"/>
      <c r="B1135" s="191"/>
      <c r="E1135" s="94"/>
      <c r="F1135" s="94"/>
      <c r="G1135" s="94"/>
    </row>
    <row r="1136" spans="1:7" x14ac:dyDescent="0.25">
      <c r="A1136" s="89"/>
      <c r="B1136" s="191"/>
      <c r="E1136" s="94"/>
      <c r="F1136" s="94"/>
      <c r="G1136" s="94"/>
    </row>
    <row r="1137" spans="1:7" x14ac:dyDescent="0.25">
      <c r="A1137" s="89"/>
      <c r="B1137" s="191"/>
      <c r="E1137" s="94"/>
      <c r="F1137" s="94"/>
      <c r="G1137" s="94"/>
    </row>
    <row r="1138" spans="1:7" x14ac:dyDescent="0.25">
      <c r="A1138" s="89"/>
      <c r="B1138" s="191"/>
      <c r="E1138" s="94"/>
      <c r="F1138" s="94"/>
      <c r="G1138" s="94"/>
    </row>
    <row r="1139" spans="1:7" x14ac:dyDescent="0.25">
      <c r="A1139" s="89"/>
      <c r="B1139" s="191"/>
      <c r="E1139" s="94"/>
      <c r="F1139" s="94"/>
      <c r="G1139" s="94"/>
    </row>
    <row r="1140" spans="1:7" x14ac:dyDescent="0.25">
      <c r="A1140" s="89"/>
      <c r="B1140" s="191"/>
      <c r="E1140" s="94"/>
      <c r="F1140" s="94"/>
      <c r="G1140" s="94"/>
    </row>
    <row r="1141" spans="1:7" x14ac:dyDescent="0.25">
      <c r="A1141" s="89"/>
      <c r="B1141" s="191"/>
      <c r="E1141" s="94"/>
      <c r="F1141" s="94"/>
      <c r="G1141" s="94"/>
    </row>
    <row r="1142" spans="1:7" x14ac:dyDescent="0.25">
      <c r="A1142" s="89"/>
      <c r="B1142" s="191"/>
      <c r="E1142" s="94"/>
      <c r="F1142" s="94"/>
      <c r="G1142" s="94"/>
    </row>
    <row r="1143" spans="1:7" x14ac:dyDescent="0.25">
      <c r="A1143" s="89"/>
      <c r="B1143" s="191"/>
      <c r="E1143" s="94"/>
      <c r="F1143" s="94"/>
      <c r="G1143" s="94"/>
    </row>
    <row r="1144" spans="1:7" x14ac:dyDescent="0.25">
      <c r="A1144" s="89"/>
      <c r="B1144" s="191"/>
      <c r="E1144" s="94"/>
      <c r="F1144" s="94"/>
      <c r="G1144" s="94"/>
    </row>
    <row r="1145" spans="1:7" x14ac:dyDescent="0.25">
      <c r="A1145" s="89"/>
      <c r="B1145" s="191"/>
      <c r="E1145" s="94"/>
      <c r="F1145" s="94"/>
      <c r="G1145" s="94"/>
    </row>
    <row r="1146" spans="1:7" x14ac:dyDescent="0.25">
      <c r="A1146" s="89"/>
      <c r="B1146" s="191"/>
      <c r="E1146" s="94"/>
      <c r="F1146" s="94"/>
      <c r="G1146" s="94"/>
    </row>
    <row r="1147" spans="1:7" x14ac:dyDescent="0.25">
      <c r="A1147" s="89"/>
      <c r="B1147" s="191"/>
      <c r="E1147" s="94"/>
      <c r="F1147" s="94"/>
      <c r="G1147" s="94"/>
    </row>
    <row r="1148" spans="1:7" x14ac:dyDescent="0.25">
      <c r="A1148" s="89"/>
      <c r="B1148" s="191"/>
      <c r="E1148" s="94"/>
      <c r="F1148" s="94"/>
      <c r="G1148" s="94"/>
    </row>
    <row r="1149" spans="1:7" x14ac:dyDescent="0.25">
      <c r="A1149" s="89"/>
      <c r="B1149" s="191"/>
      <c r="E1149" s="94"/>
      <c r="F1149" s="94"/>
      <c r="G1149" s="94"/>
    </row>
    <row r="1150" spans="1:7" x14ac:dyDescent="0.25">
      <c r="A1150" s="89"/>
      <c r="B1150" s="191"/>
      <c r="E1150" s="94"/>
      <c r="F1150" s="94"/>
      <c r="G1150" s="94"/>
    </row>
    <row r="1151" spans="1:7" x14ac:dyDescent="0.25">
      <c r="A1151" s="89"/>
      <c r="B1151" s="191"/>
      <c r="E1151" s="94"/>
      <c r="F1151" s="94"/>
      <c r="G1151" s="94"/>
    </row>
    <row r="1152" spans="1:7" x14ac:dyDescent="0.25">
      <c r="A1152" s="89"/>
      <c r="B1152" s="191"/>
      <c r="E1152" s="94"/>
      <c r="F1152" s="94"/>
      <c r="G1152" s="94"/>
    </row>
    <row r="1153" spans="1:7" x14ac:dyDescent="0.25">
      <c r="A1153" s="89"/>
      <c r="B1153" s="191"/>
      <c r="E1153" s="94"/>
      <c r="F1153" s="94"/>
      <c r="G1153" s="94"/>
    </row>
    <row r="1154" spans="1:7" x14ac:dyDescent="0.25">
      <c r="A1154" s="89"/>
      <c r="B1154" s="191"/>
      <c r="E1154" s="94"/>
      <c r="F1154" s="94"/>
      <c r="G1154" s="94"/>
    </row>
    <row r="1155" spans="1:7" x14ac:dyDescent="0.25">
      <c r="A1155" s="89"/>
      <c r="B1155" s="191"/>
      <c r="E1155" s="94"/>
      <c r="F1155" s="94"/>
      <c r="G1155" s="94"/>
    </row>
    <row r="1156" spans="1:7" x14ac:dyDescent="0.25">
      <c r="A1156" s="89"/>
      <c r="B1156" s="191"/>
      <c r="E1156" s="94"/>
      <c r="F1156" s="94"/>
      <c r="G1156" s="94"/>
    </row>
    <row r="1157" spans="1:7" x14ac:dyDescent="0.25">
      <c r="A1157" s="89"/>
      <c r="B1157" s="191"/>
      <c r="E1157" s="94"/>
      <c r="F1157" s="94"/>
      <c r="G1157" s="94"/>
    </row>
    <row r="1158" spans="1:7" x14ac:dyDescent="0.25">
      <c r="A1158" s="89"/>
      <c r="B1158" s="191"/>
      <c r="E1158" s="94"/>
      <c r="F1158" s="94"/>
      <c r="G1158" s="94"/>
    </row>
    <row r="1159" spans="1:7" x14ac:dyDescent="0.25">
      <c r="A1159" s="89"/>
      <c r="B1159" s="191"/>
      <c r="E1159" s="94"/>
      <c r="F1159" s="94"/>
      <c r="G1159" s="94"/>
    </row>
    <row r="1160" spans="1:7" x14ac:dyDescent="0.25">
      <c r="A1160" s="89"/>
      <c r="B1160" s="191"/>
      <c r="E1160" s="94"/>
      <c r="F1160" s="94"/>
      <c r="G1160" s="94"/>
    </row>
    <row r="1161" spans="1:7" x14ac:dyDescent="0.25">
      <c r="A1161" s="89"/>
      <c r="B1161" s="191"/>
      <c r="E1161" s="94"/>
      <c r="F1161" s="94"/>
      <c r="G1161" s="94"/>
    </row>
    <row r="1162" spans="1:7" x14ac:dyDescent="0.25">
      <c r="A1162" s="89"/>
      <c r="B1162" s="191"/>
      <c r="E1162" s="94"/>
      <c r="F1162" s="94"/>
      <c r="G1162" s="94"/>
    </row>
    <row r="1163" spans="1:7" x14ac:dyDescent="0.25">
      <c r="A1163" s="89"/>
      <c r="B1163" s="191"/>
      <c r="E1163" s="94"/>
      <c r="F1163" s="94"/>
      <c r="G1163" s="94"/>
    </row>
    <row r="1164" spans="1:7" x14ac:dyDescent="0.25">
      <c r="A1164" s="89"/>
      <c r="B1164" s="191"/>
      <c r="E1164" s="94"/>
      <c r="F1164" s="94"/>
      <c r="G1164" s="94"/>
    </row>
    <row r="1165" spans="1:7" x14ac:dyDescent="0.25">
      <c r="A1165" s="89"/>
      <c r="B1165" s="191"/>
      <c r="E1165" s="94"/>
      <c r="F1165" s="94"/>
      <c r="G1165" s="94"/>
    </row>
    <row r="1166" spans="1:7" x14ac:dyDescent="0.25">
      <c r="A1166" s="89"/>
      <c r="B1166" s="191"/>
      <c r="E1166" s="94"/>
      <c r="F1166" s="94"/>
      <c r="G1166" s="94"/>
    </row>
    <row r="1167" spans="1:7" x14ac:dyDescent="0.25">
      <c r="A1167" s="89"/>
      <c r="B1167" s="191"/>
      <c r="E1167" s="94"/>
      <c r="F1167" s="94"/>
      <c r="G1167" s="94"/>
    </row>
    <row r="1168" spans="1:7" x14ac:dyDescent="0.25">
      <c r="A1168" s="89"/>
      <c r="B1168" s="191"/>
      <c r="E1168" s="94"/>
      <c r="F1168" s="94"/>
      <c r="G1168" s="94"/>
    </row>
    <row r="1169" spans="1:7" x14ac:dyDescent="0.25">
      <c r="A1169" s="89"/>
      <c r="B1169" s="191"/>
      <c r="E1169" s="94"/>
      <c r="F1169" s="94"/>
      <c r="G1169" s="94"/>
    </row>
    <row r="1170" spans="1:7" x14ac:dyDescent="0.25">
      <c r="A1170" s="89"/>
      <c r="B1170" s="191"/>
      <c r="E1170" s="94"/>
      <c r="F1170" s="94"/>
      <c r="G1170" s="94"/>
    </row>
    <row r="1171" spans="1:7" x14ac:dyDescent="0.25">
      <c r="A1171" s="89"/>
      <c r="B1171" s="191"/>
      <c r="E1171" s="94"/>
      <c r="F1171" s="94"/>
      <c r="G1171" s="94"/>
    </row>
    <row r="1172" spans="1:7" x14ac:dyDescent="0.25">
      <c r="A1172" s="89"/>
      <c r="B1172" s="191"/>
      <c r="E1172" s="94"/>
      <c r="F1172" s="94"/>
      <c r="G1172" s="94"/>
    </row>
    <row r="1173" spans="1:7" x14ac:dyDescent="0.25">
      <c r="A1173" s="89"/>
      <c r="B1173" s="191"/>
      <c r="E1173" s="94"/>
      <c r="F1173" s="94"/>
      <c r="G1173" s="94"/>
    </row>
    <row r="1174" spans="1:7" x14ac:dyDescent="0.25">
      <c r="A1174" s="89"/>
      <c r="B1174" s="191"/>
      <c r="E1174" s="94"/>
      <c r="F1174" s="94"/>
      <c r="G1174" s="94"/>
    </row>
    <row r="1175" spans="1:7" x14ac:dyDescent="0.25">
      <c r="A1175" s="89"/>
      <c r="B1175" s="191"/>
      <c r="E1175" s="94"/>
      <c r="F1175" s="94"/>
      <c r="G1175" s="94"/>
    </row>
    <row r="1176" spans="1:7" x14ac:dyDescent="0.25">
      <c r="A1176" s="89"/>
      <c r="B1176" s="191"/>
      <c r="E1176" s="94"/>
      <c r="F1176" s="94"/>
      <c r="G1176" s="94"/>
    </row>
    <row r="1177" spans="1:7" x14ac:dyDescent="0.25">
      <c r="A1177" s="89"/>
      <c r="B1177" s="191"/>
      <c r="E1177" s="94"/>
      <c r="F1177" s="94"/>
      <c r="G1177" s="94"/>
    </row>
    <row r="1178" spans="1:7" x14ac:dyDescent="0.25">
      <c r="A1178" s="89"/>
      <c r="B1178" s="191"/>
      <c r="E1178" s="94"/>
      <c r="F1178" s="94"/>
      <c r="G1178" s="94"/>
    </row>
    <row r="1179" spans="1:7" x14ac:dyDescent="0.25">
      <c r="A1179" s="89"/>
      <c r="B1179" s="191"/>
      <c r="E1179" s="94"/>
      <c r="F1179" s="94"/>
      <c r="G1179" s="94"/>
    </row>
    <row r="1180" spans="1:7" x14ac:dyDescent="0.25">
      <c r="A1180" s="89"/>
      <c r="B1180" s="191"/>
      <c r="E1180" s="94"/>
      <c r="F1180" s="94"/>
      <c r="G1180" s="94"/>
    </row>
    <row r="1181" spans="1:7" x14ac:dyDescent="0.25">
      <c r="A1181" s="89"/>
      <c r="B1181" s="191"/>
      <c r="E1181" s="94"/>
      <c r="F1181" s="94"/>
      <c r="G1181" s="94"/>
    </row>
    <row r="1182" spans="1:7" x14ac:dyDescent="0.25">
      <c r="A1182" s="89"/>
      <c r="B1182" s="191"/>
      <c r="E1182" s="94"/>
      <c r="F1182" s="94"/>
      <c r="G1182" s="94"/>
    </row>
    <row r="1183" spans="1:7" x14ac:dyDescent="0.25">
      <c r="A1183" s="89"/>
      <c r="B1183" s="191"/>
      <c r="E1183" s="94"/>
      <c r="F1183" s="94"/>
      <c r="G1183" s="94"/>
    </row>
    <row r="1184" spans="1:7" x14ac:dyDescent="0.25">
      <c r="A1184" s="89"/>
      <c r="B1184" s="191"/>
      <c r="E1184" s="94"/>
      <c r="F1184" s="94"/>
      <c r="G1184" s="94"/>
    </row>
    <row r="1185" spans="1:7" x14ac:dyDescent="0.25">
      <c r="A1185" s="89"/>
      <c r="B1185" s="191"/>
      <c r="E1185" s="94"/>
      <c r="F1185" s="94"/>
      <c r="G1185" s="94"/>
    </row>
    <row r="1186" spans="1:7" x14ac:dyDescent="0.25">
      <c r="A1186" s="89"/>
      <c r="B1186" s="191"/>
      <c r="E1186" s="94"/>
      <c r="F1186" s="94"/>
      <c r="G1186" s="94"/>
    </row>
    <row r="1187" spans="1:7" x14ac:dyDescent="0.25">
      <c r="A1187" s="89"/>
      <c r="B1187" s="191"/>
      <c r="E1187" s="94"/>
      <c r="F1187" s="94"/>
      <c r="G1187" s="94"/>
    </row>
    <row r="1188" spans="1:7" x14ac:dyDescent="0.25">
      <c r="A1188" s="89"/>
      <c r="B1188" s="191"/>
      <c r="E1188" s="94"/>
      <c r="F1188" s="94"/>
      <c r="G1188" s="94"/>
    </row>
    <row r="1189" spans="1:7" x14ac:dyDescent="0.25">
      <c r="A1189" s="89"/>
      <c r="B1189" s="191"/>
      <c r="E1189" s="94"/>
      <c r="F1189" s="94"/>
      <c r="G1189" s="94"/>
    </row>
    <row r="1190" spans="1:7" x14ac:dyDescent="0.25">
      <c r="A1190" s="89"/>
      <c r="B1190" s="191"/>
      <c r="E1190" s="94"/>
      <c r="F1190" s="94"/>
      <c r="G1190" s="94"/>
    </row>
    <row r="1191" spans="1:7" x14ac:dyDescent="0.25">
      <c r="A1191" s="89"/>
      <c r="B1191" s="191"/>
      <c r="E1191" s="94"/>
      <c r="F1191" s="94"/>
      <c r="G1191" s="94"/>
    </row>
    <row r="1192" spans="1:7" x14ac:dyDescent="0.25">
      <c r="A1192" s="89"/>
      <c r="B1192" s="191"/>
      <c r="E1192" s="94"/>
      <c r="F1192" s="94"/>
      <c r="G1192" s="94"/>
    </row>
    <row r="1193" spans="1:7" x14ac:dyDescent="0.25">
      <c r="A1193" s="89"/>
      <c r="B1193" s="191"/>
      <c r="E1193" s="94"/>
      <c r="F1193" s="94"/>
      <c r="G1193" s="94"/>
    </row>
    <row r="1194" spans="1:7" x14ac:dyDescent="0.25">
      <c r="A1194" s="89"/>
      <c r="B1194" s="191"/>
      <c r="E1194" s="94"/>
      <c r="F1194" s="94"/>
      <c r="G1194" s="94"/>
    </row>
    <row r="1195" spans="1:7" x14ac:dyDescent="0.25">
      <c r="A1195" s="89"/>
      <c r="B1195" s="191"/>
      <c r="E1195" s="94"/>
      <c r="F1195" s="94"/>
      <c r="G1195" s="94"/>
    </row>
    <row r="1196" spans="1:7" x14ac:dyDescent="0.25">
      <c r="A1196" s="89"/>
      <c r="B1196" s="191"/>
      <c r="E1196" s="94"/>
      <c r="F1196" s="94"/>
      <c r="G1196" s="94"/>
    </row>
    <row r="1197" spans="1:7" x14ac:dyDescent="0.25">
      <c r="A1197" s="89"/>
      <c r="B1197" s="191"/>
      <c r="E1197" s="94"/>
      <c r="F1197" s="94"/>
      <c r="G1197" s="94"/>
    </row>
    <row r="1198" spans="1:7" x14ac:dyDescent="0.25">
      <c r="A1198" s="89"/>
      <c r="B1198" s="191"/>
      <c r="E1198" s="94"/>
      <c r="F1198" s="94"/>
      <c r="G1198" s="94"/>
    </row>
    <row r="1199" spans="1:7" x14ac:dyDescent="0.25">
      <c r="A1199" s="89"/>
      <c r="B1199" s="191"/>
      <c r="E1199" s="94"/>
      <c r="F1199" s="94"/>
      <c r="G1199" s="94"/>
    </row>
    <row r="1200" spans="1:7" x14ac:dyDescent="0.25">
      <c r="A1200" s="89"/>
      <c r="B1200" s="191"/>
      <c r="E1200" s="94"/>
      <c r="F1200" s="94"/>
      <c r="G1200" s="94"/>
    </row>
    <row r="1201" spans="1:7" x14ac:dyDescent="0.25">
      <c r="A1201" s="89"/>
      <c r="B1201" s="191"/>
      <c r="E1201" s="94"/>
      <c r="F1201" s="94"/>
      <c r="G1201" s="94"/>
    </row>
    <row r="1202" spans="1:7" x14ac:dyDescent="0.25">
      <c r="A1202" s="89"/>
      <c r="B1202" s="191"/>
      <c r="E1202" s="94"/>
      <c r="F1202" s="94"/>
      <c r="G1202" s="94"/>
    </row>
    <row r="1203" spans="1:7" x14ac:dyDescent="0.25">
      <c r="A1203" s="89"/>
      <c r="B1203" s="191"/>
      <c r="E1203" s="94"/>
      <c r="F1203" s="94"/>
      <c r="G1203" s="94"/>
    </row>
    <row r="1204" spans="1:7" x14ac:dyDescent="0.25">
      <c r="A1204" s="89"/>
      <c r="B1204" s="191"/>
      <c r="E1204" s="94"/>
      <c r="F1204" s="94"/>
      <c r="G1204" s="94"/>
    </row>
    <row r="1205" spans="1:7" x14ac:dyDescent="0.25">
      <c r="A1205" s="89"/>
      <c r="B1205" s="191"/>
      <c r="E1205" s="94"/>
      <c r="F1205" s="94"/>
      <c r="G1205" s="94"/>
    </row>
    <row r="1206" spans="1:7" x14ac:dyDescent="0.25">
      <c r="A1206" s="89"/>
      <c r="B1206" s="191"/>
      <c r="E1206" s="94"/>
      <c r="F1206" s="94"/>
      <c r="G1206" s="94"/>
    </row>
    <row r="1207" spans="1:7" x14ac:dyDescent="0.25">
      <c r="A1207" s="89"/>
      <c r="B1207" s="191"/>
      <c r="E1207" s="94"/>
      <c r="F1207" s="94"/>
      <c r="G1207" s="94"/>
    </row>
    <row r="1208" spans="1:7" x14ac:dyDescent="0.25">
      <c r="A1208" s="89"/>
      <c r="B1208" s="191"/>
      <c r="E1208" s="94"/>
      <c r="F1208" s="94"/>
      <c r="G1208" s="94"/>
    </row>
    <row r="1209" spans="1:7" x14ac:dyDescent="0.25">
      <c r="A1209" s="89"/>
      <c r="B1209" s="191"/>
      <c r="E1209" s="94"/>
      <c r="F1209" s="94"/>
      <c r="G1209" s="94"/>
    </row>
    <row r="1210" spans="1:7" x14ac:dyDescent="0.25">
      <c r="A1210" s="89"/>
      <c r="B1210" s="191"/>
      <c r="E1210" s="94"/>
      <c r="F1210" s="94"/>
      <c r="G1210" s="94"/>
    </row>
    <row r="1211" spans="1:7" x14ac:dyDescent="0.25">
      <c r="A1211" s="89"/>
      <c r="B1211" s="191"/>
      <c r="E1211" s="94"/>
      <c r="F1211" s="94"/>
      <c r="G1211" s="94"/>
    </row>
    <row r="1212" spans="1:7" x14ac:dyDescent="0.25">
      <c r="A1212" s="89"/>
      <c r="B1212" s="191"/>
      <c r="E1212" s="94"/>
      <c r="F1212" s="94"/>
      <c r="G1212" s="94"/>
    </row>
    <row r="1213" spans="1:7" x14ac:dyDescent="0.25">
      <c r="A1213" s="89"/>
      <c r="B1213" s="191"/>
      <c r="E1213" s="94"/>
      <c r="F1213" s="94"/>
      <c r="G1213" s="94"/>
    </row>
    <row r="1214" spans="1:7" x14ac:dyDescent="0.25">
      <c r="A1214" s="89"/>
      <c r="B1214" s="191"/>
      <c r="E1214" s="94"/>
      <c r="F1214" s="94"/>
      <c r="G1214" s="94"/>
    </row>
    <row r="1215" spans="1:7" x14ac:dyDescent="0.25">
      <c r="A1215" s="89"/>
      <c r="B1215" s="191"/>
      <c r="E1215" s="94"/>
      <c r="F1215" s="94"/>
      <c r="G1215" s="94"/>
    </row>
    <row r="1216" spans="1:7" x14ac:dyDescent="0.25">
      <c r="A1216" s="89"/>
      <c r="B1216" s="191"/>
      <c r="E1216" s="94"/>
      <c r="F1216" s="94"/>
      <c r="G1216" s="94"/>
    </row>
    <row r="1217" spans="1:7" x14ac:dyDescent="0.25">
      <c r="A1217" s="89"/>
      <c r="B1217" s="191"/>
      <c r="E1217" s="94"/>
      <c r="F1217" s="94"/>
      <c r="G1217" s="94"/>
    </row>
    <row r="1218" spans="1:7" x14ac:dyDescent="0.25">
      <c r="A1218" s="89"/>
      <c r="B1218" s="191"/>
      <c r="E1218" s="94"/>
      <c r="F1218" s="94"/>
      <c r="G1218" s="94"/>
    </row>
    <row r="1219" spans="1:7" x14ac:dyDescent="0.25">
      <c r="A1219" s="89"/>
      <c r="B1219" s="191"/>
      <c r="E1219" s="94"/>
      <c r="F1219" s="94"/>
      <c r="G1219" s="94"/>
    </row>
    <row r="1220" spans="1:7" x14ac:dyDescent="0.25">
      <c r="A1220" s="89"/>
      <c r="B1220" s="191"/>
      <c r="E1220" s="94"/>
      <c r="F1220" s="94"/>
      <c r="G1220" s="94"/>
    </row>
    <row r="1221" spans="1:7" x14ac:dyDescent="0.25">
      <c r="A1221" s="89"/>
      <c r="B1221" s="191"/>
      <c r="E1221" s="94"/>
      <c r="F1221" s="94"/>
      <c r="G1221" s="94"/>
    </row>
    <row r="1222" spans="1:7" x14ac:dyDescent="0.25">
      <c r="A1222" s="89"/>
      <c r="B1222" s="191"/>
      <c r="E1222" s="94"/>
      <c r="F1222" s="94"/>
      <c r="G1222" s="94"/>
    </row>
    <row r="1223" spans="1:7" x14ac:dyDescent="0.25">
      <c r="A1223" s="89"/>
      <c r="B1223" s="191"/>
      <c r="E1223" s="94"/>
      <c r="F1223" s="94"/>
      <c r="G1223" s="94"/>
    </row>
    <row r="1224" spans="1:7" x14ac:dyDescent="0.25">
      <c r="A1224" s="89"/>
      <c r="B1224" s="191"/>
      <c r="E1224" s="94"/>
      <c r="F1224" s="94"/>
      <c r="G1224" s="94"/>
    </row>
    <row r="1225" spans="1:7" x14ac:dyDescent="0.25">
      <c r="A1225" s="89"/>
      <c r="B1225" s="191"/>
      <c r="E1225" s="94"/>
      <c r="F1225" s="94"/>
      <c r="G1225" s="94"/>
    </row>
    <row r="1226" spans="1:7" x14ac:dyDescent="0.25">
      <c r="A1226" s="89"/>
      <c r="B1226" s="191"/>
      <c r="E1226" s="94"/>
      <c r="F1226" s="94"/>
      <c r="G1226" s="94"/>
    </row>
    <row r="1227" spans="1:7" x14ac:dyDescent="0.25">
      <c r="A1227" s="89"/>
      <c r="B1227" s="191"/>
      <c r="E1227" s="94"/>
      <c r="F1227" s="94"/>
      <c r="G1227" s="94"/>
    </row>
    <row r="1228" spans="1:7" x14ac:dyDescent="0.25">
      <c r="A1228" s="89"/>
      <c r="B1228" s="191"/>
      <c r="E1228" s="94"/>
      <c r="F1228" s="94"/>
      <c r="G1228" s="94"/>
    </row>
    <row r="1229" spans="1:7" x14ac:dyDescent="0.25">
      <c r="A1229" s="89"/>
      <c r="B1229" s="191"/>
      <c r="E1229" s="94"/>
      <c r="F1229" s="94"/>
      <c r="G1229" s="94"/>
    </row>
    <row r="1230" spans="1:7" x14ac:dyDescent="0.25">
      <c r="A1230" s="89"/>
      <c r="B1230" s="191"/>
      <c r="E1230" s="94"/>
      <c r="F1230" s="94"/>
      <c r="G1230" s="94"/>
    </row>
    <row r="1231" spans="1:7" x14ac:dyDescent="0.25">
      <c r="A1231" s="89"/>
      <c r="B1231" s="191"/>
      <c r="E1231" s="94"/>
      <c r="F1231" s="94"/>
      <c r="G1231" s="94"/>
    </row>
    <row r="1232" spans="1:7" x14ac:dyDescent="0.25">
      <c r="A1232" s="89"/>
      <c r="B1232" s="191"/>
      <c r="E1232" s="94"/>
      <c r="F1232" s="94"/>
      <c r="G1232" s="94"/>
    </row>
    <row r="1233" spans="1:7" x14ac:dyDescent="0.25">
      <c r="A1233" s="89"/>
      <c r="B1233" s="191"/>
      <c r="E1233" s="94"/>
      <c r="F1233" s="94"/>
      <c r="G1233" s="94"/>
    </row>
    <row r="1234" spans="1:7" x14ac:dyDescent="0.25">
      <c r="A1234" s="89"/>
      <c r="B1234" s="191"/>
      <c r="E1234" s="94"/>
      <c r="F1234" s="94"/>
      <c r="G1234" s="94"/>
    </row>
    <row r="1235" spans="1:7" x14ac:dyDescent="0.25">
      <c r="A1235" s="89"/>
      <c r="B1235" s="191"/>
      <c r="E1235" s="94"/>
      <c r="F1235" s="94"/>
      <c r="G1235" s="94"/>
    </row>
    <row r="1236" spans="1:7" x14ac:dyDescent="0.25">
      <c r="A1236" s="89"/>
      <c r="B1236" s="191"/>
      <c r="E1236" s="94"/>
      <c r="F1236" s="94"/>
      <c r="G1236" s="94"/>
    </row>
    <row r="1237" spans="1:7" x14ac:dyDescent="0.25">
      <c r="A1237" s="89"/>
      <c r="B1237" s="191"/>
      <c r="E1237" s="94"/>
      <c r="F1237" s="94"/>
      <c r="G1237" s="94"/>
    </row>
    <row r="1238" spans="1:7" x14ac:dyDescent="0.25">
      <c r="A1238" s="89"/>
      <c r="B1238" s="191"/>
      <c r="E1238" s="94"/>
      <c r="F1238" s="94"/>
      <c r="G1238" s="94"/>
    </row>
    <row r="1239" spans="1:7" x14ac:dyDescent="0.25">
      <c r="A1239" s="89"/>
      <c r="B1239" s="191"/>
      <c r="E1239" s="94"/>
      <c r="F1239" s="94"/>
      <c r="G1239" s="94"/>
    </row>
    <row r="1240" spans="1:7" x14ac:dyDescent="0.25">
      <c r="A1240" s="89"/>
      <c r="B1240" s="191"/>
      <c r="E1240" s="94"/>
      <c r="F1240" s="94"/>
      <c r="G1240" s="94"/>
    </row>
    <row r="1241" spans="1:7" x14ac:dyDescent="0.25">
      <c r="A1241" s="89"/>
      <c r="B1241" s="191"/>
      <c r="E1241" s="94"/>
      <c r="F1241" s="94"/>
      <c r="G1241" s="94"/>
    </row>
    <row r="1242" spans="1:7" x14ac:dyDescent="0.25">
      <c r="A1242" s="89"/>
      <c r="B1242" s="191"/>
      <c r="E1242" s="94"/>
      <c r="F1242" s="94"/>
      <c r="G1242" s="94"/>
    </row>
    <row r="1243" spans="1:7" x14ac:dyDescent="0.25">
      <c r="A1243" s="89"/>
      <c r="B1243" s="191"/>
      <c r="E1243" s="94"/>
      <c r="F1243" s="94"/>
      <c r="G1243" s="94"/>
    </row>
    <row r="1244" spans="1:7" x14ac:dyDescent="0.25">
      <c r="A1244" s="89"/>
      <c r="B1244" s="191"/>
      <c r="E1244" s="94"/>
      <c r="F1244" s="94"/>
      <c r="G1244" s="94"/>
    </row>
    <row r="1245" spans="1:7" x14ac:dyDescent="0.25">
      <c r="A1245" s="89"/>
      <c r="B1245" s="191"/>
      <c r="E1245" s="94"/>
      <c r="F1245" s="94"/>
      <c r="G1245" s="94"/>
    </row>
    <row r="1246" spans="1:7" x14ac:dyDescent="0.25">
      <c r="A1246" s="89"/>
      <c r="B1246" s="191"/>
      <c r="E1246" s="94"/>
      <c r="F1246" s="94"/>
      <c r="G1246" s="94"/>
    </row>
    <row r="1247" spans="1:7" x14ac:dyDescent="0.25">
      <c r="A1247" s="89"/>
      <c r="B1247" s="191"/>
      <c r="E1247" s="94"/>
      <c r="F1247" s="94"/>
      <c r="G1247" s="94"/>
    </row>
    <row r="1248" spans="1:7" x14ac:dyDescent="0.25">
      <c r="A1248" s="89"/>
      <c r="B1248" s="191"/>
      <c r="E1248" s="94"/>
      <c r="F1248" s="94"/>
      <c r="G1248" s="94"/>
    </row>
    <row r="1249" spans="1:7" x14ac:dyDescent="0.25">
      <c r="A1249" s="89"/>
      <c r="B1249" s="191"/>
      <c r="E1249" s="94"/>
      <c r="F1249" s="94"/>
      <c r="G1249" s="94"/>
    </row>
    <row r="1250" spans="1:7" x14ac:dyDescent="0.25">
      <c r="A1250" s="89"/>
      <c r="B1250" s="191"/>
      <c r="E1250" s="94"/>
      <c r="F1250" s="94"/>
      <c r="G1250" s="94"/>
    </row>
    <row r="1251" spans="1:7" x14ac:dyDescent="0.25">
      <c r="A1251" s="89"/>
      <c r="B1251" s="191"/>
      <c r="E1251" s="94"/>
      <c r="F1251" s="94"/>
      <c r="G1251" s="94"/>
    </row>
    <row r="1252" spans="1:7" x14ac:dyDescent="0.25">
      <c r="A1252" s="89"/>
      <c r="B1252" s="191"/>
      <c r="E1252" s="94"/>
      <c r="F1252" s="94"/>
      <c r="G1252" s="94"/>
    </row>
    <row r="1253" spans="1:7" x14ac:dyDescent="0.25">
      <c r="A1253" s="89"/>
      <c r="B1253" s="191"/>
      <c r="E1253" s="94"/>
      <c r="F1253" s="94"/>
      <c r="G1253" s="94"/>
    </row>
    <row r="1254" spans="1:7" x14ac:dyDescent="0.25">
      <c r="A1254" s="89"/>
      <c r="B1254" s="191"/>
      <c r="E1254" s="94"/>
      <c r="F1254" s="94"/>
      <c r="G1254" s="94"/>
    </row>
    <row r="1255" spans="1:7" x14ac:dyDescent="0.25">
      <c r="A1255" s="89"/>
      <c r="B1255" s="191"/>
      <c r="E1255" s="94"/>
      <c r="F1255" s="94"/>
      <c r="G1255" s="94"/>
    </row>
    <row r="1256" spans="1:7" x14ac:dyDescent="0.25">
      <c r="A1256" s="89"/>
      <c r="B1256" s="191"/>
      <c r="E1256" s="94"/>
      <c r="F1256" s="94"/>
      <c r="G1256" s="94"/>
    </row>
    <row r="1257" spans="1:7" x14ac:dyDescent="0.25">
      <c r="A1257" s="89"/>
      <c r="B1257" s="191"/>
      <c r="E1257" s="94"/>
      <c r="F1257" s="94"/>
      <c r="G1257" s="94"/>
    </row>
    <row r="1258" spans="1:7" x14ac:dyDescent="0.25">
      <c r="A1258" s="89"/>
      <c r="B1258" s="191"/>
      <c r="E1258" s="94"/>
      <c r="F1258" s="94"/>
      <c r="G1258" s="94"/>
    </row>
    <row r="1259" spans="1:7" x14ac:dyDescent="0.25">
      <c r="A1259" s="89"/>
      <c r="B1259" s="191"/>
      <c r="E1259" s="94"/>
      <c r="F1259" s="94"/>
      <c r="G1259" s="94"/>
    </row>
    <row r="1260" spans="1:7" x14ac:dyDescent="0.25">
      <c r="A1260" s="89"/>
      <c r="B1260" s="191"/>
      <c r="E1260" s="94"/>
      <c r="F1260" s="94"/>
      <c r="G1260" s="94"/>
    </row>
    <row r="1261" spans="1:7" x14ac:dyDescent="0.25">
      <c r="A1261" s="89"/>
      <c r="B1261" s="191"/>
      <c r="E1261" s="94"/>
      <c r="F1261" s="94"/>
      <c r="G1261" s="94"/>
    </row>
    <row r="1262" spans="1:7" x14ac:dyDescent="0.25">
      <c r="A1262" s="89"/>
      <c r="B1262" s="191"/>
      <c r="E1262" s="94"/>
      <c r="F1262" s="94"/>
      <c r="G1262" s="94"/>
    </row>
    <row r="1263" spans="1:7" x14ac:dyDescent="0.25">
      <c r="A1263" s="89"/>
      <c r="B1263" s="191"/>
      <c r="E1263" s="94"/>
      <c r="F1263" s="94"/>
      <c r="G1263" s="94"/>
    </row>
    <row r="1264" spans="1:7" x14ac:dyDescent="0.25">
      <c r="A1264" s="89"/>
      <c r="B1264" s="191"/>
      <c r="E1264" s="94"/>
      <c r="F1264" s="94"/>
      <c r="G1264" s="94"/>
    </row>
    <row r="1265" spans="1:7" x14ac:dyDescent="0.25">
      <c r="A1265" s="89"/>
      <c r="B1265" s="191"/>
      <c r="E1265" s="94"/>
      <c r="F1265" s="94"/>
      <c r="G1265" s="94"/>
    </row>
    <row r="1266" spans="1:7" x14ac:dyDescent="0.25">
      <c r="A1266" s="89"/>
      <c r="B1266" s="191"/>
      <c r="E1266" s="94"/>
      <c r="F1266" s="94"/>
      <c r="G1266" s="94"/>
    </row>
    <row r="1267" spans="1:7" x14ac:dyDescent="0.25">
      <c r="A1267" s="89"/>
      <c r="B1267" s="191"/>
      <c r="E1267" s="94"/>
      <c r="F1267" s="94"/>
      <c r="G1267" s="94"/>
    </row>
    <row r="1268" spans="1:7" x14ac:dyDescent="0.25">
      <c r="A1268" s="89"/>
      <c r="B1268" s="191"/>
      <c r="E1268" s="94"/>
      <c r="F1268" s="94"/>
      <c r="G1268" s="94"/>
    </row>
    <row r="1269" spans="1:7" x14ac:dyDescent="0.25">
      <c r="A1269" s="89"/>
      <c r="B1269" s="191"/>
      <c r="E1269" s="94"/>
      <c r="F1269" s="94"/>
      <c r="G1269" s="94"/>
    </row>
    <row r="1270" spans="1:7" x14ac:dyDescent="0.25">
      <c r="A1270" s="89"/>
      <c r="B1270" s="191"/>
      <c r="E1270" s="94"/>
      <c r="F1270" s="94"/>
      <c r="G1270" s="94"/>
    </row>
    <row r="1271" spans="1:7" x14ac:dyDescent="0.25">
      <c r="A1271" s="89"/>
      <c r="B1271" s="191"/>
      <c r="E1271" s="94"/>
      <c r="F1271" s="94"/>
      <c r="G1271" s="94"/>
    </row>
    <row r="1272" spans="1:7" x14ac:dyDescent="0.25">
      <c r="A1272" s="89"/>
      <c r="B1272" s="191"/>
      <c r="E1272" s="94"/>
      <c r="F1272" s="94"/>
      <c r="G1272" s="94"/>
    </row>
    <row r="1273" spans="1:7" x14ac:dyDescent="0.25">
      <c r="A1273" s="89"/>
      <c r="B1273" s="191"/>
      <c r="E1273" s="94"/>
      <c r="F1273" s="94"/>
      <c r="G1273" s="94"/>
    </row>
    <row r="1274" spans="1:7" x14ac:dyDescent="0.25">
      <c r="A1274" s="89"/>
      <c r="B1274" s="191"/>
      <c r="E1274" s="94"/>
      <c r="F1274" s="94"/>
      <c r="G1274" s="94"/>
    </row>
    <row r="1275" spans="1:7" x14ac:dyDescent="0.25">
      <c r="A1275" s="89"/>
      <c r="B1275" s="191"/>
      <c r="E1275" s="94"/>
      <c r="F1275" s="94"/>
      <c r="G1275" s="94"/>
    </row>
    <row r="1276" spans="1:7" x14ac:dyDescent="0.25">
      <c r="A1276" s="89"/>
      <c r="B1276" s="191"/>
      <c r="E1276" s="94"/>
      <c r="F1276" s="94"/>
      <c r="G1276" s="94"/>
    </row>
    <row r="1277" spans="1:7" x14ac:dyDescent="0.25">
      <c r="A1277" s="89"/>
      <c r="B1277" s="191"/>
      <c r="E1277" s="94"/>
      <c r="F1277" s="94"/>
      <c r="G1277" s="94"/>
    </row>
    <row r="1278" spans="1:7" x14ac:dyDescent="0.25">
      <c r="A1278" s="89"/>
      <c r="B1278" s="191"/>
      <c r="E1278" s="94"/>
      <c r="F1278" s="94"/>
      <c r="G1278" s="94"/>
    </row>
    <row r="1279" spans="1:7" x14ac:dyDescent="0.25">
      <c r="A1279" s="89"/>
      <c r="B1279" s="191"/>
      <c r="E1279" s="94"/>
      <c r="F1279" s="94"/>
      <c r="G1279" s="94"/>
    </row>
    <row r="1280" spans="1:7" x14ac:dyDescent="0.25">
      <c r="A1280" s="89"/>
      <c r="B1280" s="191"/>
      <c r="E1280" s="94"/>
      <c r="F1280" s="94"/>
      <c r="G1280" s="94"/>
    </row>
    <row r="1281" spans="1:7" x14ac:dyDescent="0.25">
      <c r="A1281" s="89"/>
      <c r="B1281" s="191"/>
      <c r="E1281" s="94"/>
      <c r="F1281" s="94"/>
      <c r="G1281" s="94"/>
    </row>
    <row r="1282" spans="1:7" x14ac:dyDescent="0.25">
      <c r="A1282" s="89"/>
      <c r="B1282" s="191"/>
      <c r="E1282" s="94"/>
      <c r="F1282" s="94"/>
      <c r="G1282" s="94"/>
    </row>
    <row r="1283" spans="1:7" x14ac:dyDescent="0.25">
      <c r="A1283" s="89"/>
      <c r="B1283" s="191"/>
      <c r="E1283" s="94"/>
      <c r="F1283" s="94"/>
      <c r="G1283" s="94"/>
    </row>
    <row r="1284" spans="1:7" x14ac:dyDescent="0.25">
      <c r="A1284" s="89"/>
      <c r="B1284" s="191"/>
      <c r="E1284" s="94"/>
      <c r="F1284" s="94"/>
      <c r="G1284" s="94"/>
    </row>
    <row r="1285" spans="1:7" x14ac:dyDescent="0.25">
      <c r="A1285" s="89"/>
      <c r="B1285" s="191"/>
      <c r="E1285" s="94"/>
      <c r="F1285" s="94"/>
      <c r="G1285" s="94"/>
    </row>
    <row r="1286" spans="1:7" x14ac:dyDescent="0.25">
      <c r="A1286" s="89"/>
      <c r="B1286" s="191"/>
      <c r="E1286" s="94"/>
      <c r="F1286" s="94"/>
      <c r="G1286" s="94"/>
    </row>
    <row r="1287" spans="1:7" x14ac:dyDescent="0.25">
      <c r="A1287" s="89"/>
      <c r="B1287" s="191"/>
      <c r="E1287" s="94"/>
      <c r="F1287" s="94"/>
      <c r="G1287" s="94"/>
    </row>
    <row r="1288" spans="1:7" x14ac:dyDescent="0.25">
      <c r="A1288" s="89"/>
      <c r="B1288" s="191"/>
      <c r="E1288" s="94"/>
      <c r="F1288" s="94"/>
      <c r="G1288" s="94"/>
    </row>
    <row r="1289" spans="1:7" x14ac:dyDescent="0.25">
      <c r="A1289" s="89"/>
      <c r="B1289" s="191"/>
      <c r="E1289" s="94"/>
      <c r="F1289" s="94"/>
      <c r="G1289" s="94"/>
    </row>
    <row r="1290" spans="1:7" x14ac:dyDescent="0.25">
      <c r="A1290" s="89"/>
      <c r="B1290" s="191"/>
      <c r="E1290" s="94"/>
      <c r="F1290" s="94"/>
      <c r="G1290" s="94"/>
    </row>
    <row r="1291" spans="1:7" x14ac:dyDescent="0.25">
      <c r="A1291" s="89"/>
      <c r="B1291" s="191"/>
      <c r="E1291" s="94"/>
      <c r="F1291" s="94"/>
      <c r="G1291" s="94"/>
    </row>
    <row r="1292" spans="1:7" x14ac:dyDescent="0.25">
      <c r="A1292" s="89"/>
      <c r="B1292" s="191"/>
      <c r="E1292" s="94"/>
      <c r="F1292" s="94"/>
      <c r="G1292" s="94"/>
    </row>
    <row r="1293" spans="1:7" x14ac:dyDescent="0.25">
      <c r="A1293" s="89"/>
      <c r="B1293" s="191"/>
      <c r="E1293" s="94"/>
      <c r="F1293" s="94"/>
      <c r="G1293" s="94"/>
    </row>
    <row r="1294" spans="1:7" x14ac:dyDescent="0.25">
      <c r="A1294" s="89"/>
      <c r="B1294" s="191"/>
      <c r="E1294" s="94"/>
      <c r="F1294" s="94"/>
      <c r="G1294" s="94"/>
    </row>
    <row r="1295" spans="1:7" x14ac:dyDescent="0.25">
      <c r="A1295" s="89"/>
      <c r="B1295" s="191"/>
      <c r="E1295" s="94"/>
      <c r="F1295" s="94"/>
      <c r="G1295" s="94"/>
    </row>
    <row r="1296" spans="1:7" x14ac:dyDescent="0.25">
      <c r="A1296" s="89"/>
      <c r="B1296" s="191"/>
      <c r="E1296" s="94"/>
      <c r="F1296" s="94"/>
      <c r="G1296" s="94"/>
    </row>
    <row r="1297" spans="1:7" x14ac:dyDescent="0.25">
      <c r="A1297" s="89"/>
      <c r="B1297" s="191"/>
      <c r="E1297" s="94"/>
      <c r="F1297" s="94"/>
      <c r="G1297" s="94"/>
    </row>
    <row r="1298" spans="1:7" x14ac:dyDescent="0.25">
      <c r="A1298" s="89"/>
      <c r="B1298" s="191"/>
      <c r="E1298" s="94"/>
      <c r="F1298" s="94"/>
      <c r="G1298" s="94"/>
    </row>
    <row r="1299" spans="1:7" x14ac:dyDescent="0.25">
      <c r="A1299" s="89"/>
      <c r="B1299" s="191"/>
      <c r="E1299" s="94"/>
      <c r="F1299" s="94"/>
      <c r="G1299" s="94"/>
    </row>
    <row r="1300" spans="1:7" x14ac:dyDescent="0.25">
      <c r="A1300" s="89"/>
      <c r="B1300" s="191"/>
      <c r="E1300" s="94"/>
      <c r="F1300" s="94"/>
      <c r="G1300" s="94"/>
    </row>
    <row r="1301" spans="1:7" x14ac:dyDescent="0.25">
      <c r="A1301" s="89"/>
      <c r="B1301" s="191"/>
      <c r="E1301" s="94"/>
      <c r="F1301" s="94"/>
      <c r="G1301" s="94"/>
    </row>
    <row r="1302" spans="1:7" x14ac:dyDescent="0.25">
      <c r="A1302" s="89"/>
      <c r="B1302" s="191"/>
      <c r="E1302" s="94"/>
      <c r="F1302" s="94"/>
      <c r="G1302" s="94"/>
    </row>
    <row r="1303" spans="1:7" x14ac:dyDescent="0.25">
      <c r="A1303" s="89"/>
      <c r="B1303" s="191"/>
      <c r="E1303" s="94"/>
      <c r="F1303" s="94"/>
      <c r="G1303" s="94"/>
    </row>
    <row r="1304" spans="1:7" x14ac:dyDescent="0.25">
      <c r="A1304" s="89"/>
      <c r="B1304" s="191"/>
      <c r="E1304" s="94"/>
      <c r="F1304" s="94"/>
      <c r="G1304" s="94"/>
    </row>
    <row r="1305" spans="1:7" x14ac:dyDescent="0.25">
      <c r="A1305" s="89"/>
      <c r="B1305" s="191"/>
      <c r="E1305" s="94"/>
      <c r="F1305" s="94"/>
      <c r="G1305" s="94"/>
    </row>
    <row r="1306" spans="1:7" x14ac:dyDescent="0.25">
      <c r="A1306" s="89"/>
      <c r="B1306" s="191"/>
      <c r="E1306" s="94"/>
      <c r="F1306" s="94"/>
      <c r="G1306" s="94"/>
    </row>
    <row r="1307" spans="1:7" x14ac:dyDescent="0.25">
      <c r="A1307" s="89"/>
      <c r="B1307" s="191"/>
      <c r="E1307" s="94"/>
      <c r="F1307" s="94"/>
      <c r="G1307" s="94"/>
    </row>
    <row r="1308" spans="1:7" x14ac:dyDescent="0.25">
      <c r="A1308" s="89"/>
      <c r="B1308" s="191"/>
      <c r="E1308" s="94"/>
      <c r="F1308" s="94"/>
      <c r="G1308" s="94"/>
    </row>
    <row r="1309" spans="1:7" x14ac:dyDescent="0.25">
      <c r="A1309" s="89"/>
      <c r="B1309" s="191"/>
      <c r="E1309" s="94"/>
      <c r="F1309" s="94"/>
      <c r="G1309" s="94"/>
    </row>
    <row r="1310" spans="1:7" x14ac:dyDescent="0.25">
      <c r="A1310" s="89"/>
      <c r="B1310" s="191"/>
      <c r="E1310" s="94"/>
      <c r="F1310" s="94"/>
      <c r="G1310" s="94"/>
    </row>
    <row r="1311" spans="1:7" x14ac:dyDescent="0.25">
      <c r="A1311" s="89"/>
      <c r="B1311" s="191"/>
      <c r="E1311" s="94"/>
      <c r="F1311" s="94"/>
      <c r="G1311" s="94"/>
    </row>
    <row r="1312" spans="1:7" x14ac:dyDescent="0.25">
      <c r="A1312" s="89"/>
      <c r="B1312" s="191"/>
      <c r="E1312" s="94"/>
      <c r="F1312" s="94"/>
      <c r="G1312" s="94"/>
    </row>
    <row r="1313" spans="1:7" x14ac:dyDescent="0.25">
      <c r="A1313" s="89"/>
      <c r="B1313" s="191"/>
      <c r="E1313" s="94"/>
      <c r="F1313" s="94"/>
      <c r="G1313" s="94"/>
    </row>
    <row r="1314" spans="1:7" x14ac:dyDescent="0.25">
      <c r="A1314" s="89"/>
      <c r="B1314" s="191"/>
      <c r="E1314" s="94"/>
      <c r="F1314" s="94"/>
      <c r="G1314" s="94"/>
    </row>
    <row r="1315" spans="1:7" x14ac:dyDescent="0.25">
      <c r="A1315" s="89"/>
      <c r="B1315" s="191"/>
      <c r="E1315" s="94"/>
      <c r="F1315" s="94"/>
      <c r="G1315" s="94"/>
    </row>
    <row r="1316" spans="1:7" x14ac:dyDescent="0.25">
      <c r="A1316" s="89"/>
      <c r="B1316" s="191"/>
      <c r="E1316" s="94"/>
      <c r="F1316" s="94"/>
      <c r="G1316" s="94"/>
    </row>
    <row r="1317" spans="1:7" x14ac:dyDescent="0.25">
      <c r="A1317" s="89"/>
      <c r="B1317" s="191"/>
      <c r="E1317" s="94"/>
      <c r="F1317" s="94"/>
      <c r="G1317" s="94"/>
    </row>
    <row r="1318" spans="1:7" x14ac:dyDescent="0.25">
      <c r="A1318" s="89"/>
      <c r="B1318" s="191"/>
      <c r="E1318" s="94"/>
      <c r="F1318" s="94"/>
      <c r="G1318" s="94"/>
    </row>
    <row r="1319" spans="1:7" x14ac:dyDescent="0.25">
      <c r="A1319" s="89"/>
      <c r="B1319" s="191"/>
      <c r="E1319" s="94"/>
      <c r="F1319" s="94"/>
      <c r="G1319" s="94"/>
    </row>
    <row r="1320" spans="1:7" x14ac:dyDescent="0.25">
      <c r="A1320" s="89"/>
      <c r="B1320" s="191"/>
      <c r="E1320" s="94"/>
      <c r="F1320" s="94"/>
      <c r="G1320" s="94"/>
    </row>
    <row r="1321" spans="1:7" x14ac:dyDescent="0.25">
      <c r="A1321" s="89"/>
      <c r="B1321" s="191"/>
      <c r="E1321" s="94"/>
      <c r="F1321" s="94"/>
      <c r="G1321" s="94"/>
    </row>
    <row r="1322" spans="1:7" x14ac:dyDescent="0.25">
      <c r="A1322" s="89"/>
      <c r="B1322" s="191"/>
      <c r="E1322" s="94"/>
      <c r="F1322" s="94"/>
      <c r="G1322" s="94"/>
    </row>
    <row r="1323" spans="1:7" x14ac:dyDescent="0.25">
      <c r="A1323" s="89"/>
      <c r="B1323" s="191"/>
      <c r="E1323" s="94"/>
      <c r="F1323" s="94"/>
      <c r="G1323" s="94"/>
    </row>
    <row r="1324" spans="1:7" x14ac:dyDescent="0.25">
      <c r="A1324" s="89"/>
      <c r="B1324" s="191"/>
      <c r="E1324" s="94"/>
      <c r="F1324" s="94"/>
      <c r="G1324" s="94"/>
    </row>
    <row r="1325" spans="1:7" x14ac:dyDescent="0.25">
      <c r="A1325" s="89"/>
      <c r="B1325" s="191"/>
      <c r="E1325" s="94"/>
      <c r="F1325" s="94"/>
      <c r="G1325" s="94"/>
    </row>
    <row r="1326" spans="1:7" x14ac:dyDescent="0.25">
      <c r="A1326" s="89"/>
      <c r="B1326" s="191"/>
      <c r="E1326" s="94"/>
      <c r="F1326" s="94"/>
      <c r="G1326" s="94"/>
    </row>
    <row r="1327" spans="1:7" x14ac:dyDescent="0.25">
      <c r="A1327" s="89"/>
      <c r="B1327" s="191"/>
      <c r="E1327" s="94"/>
      <c r="F1327" s="94"/>
      <c r="G1327" s="94"/>
    </row>
    <row r="1328" spans="1:7" x14ac:dyDescent="0.25">
      <c r="A1328" s="89"/>
      <c r="B1328" s="191"/>
      <c r="E1328" s="94"/>
      <c r="F1328" s="94"/>
      <c r="G1328" s="94"/>
    </row>
    <row r="1329" spans="1:7" x14ac:dyDescent="0.25">
      <c r="A1329" s="89"/>
      <c r="B1329" s="191"/>
      <c r="E1329" s="94"/>
      <c r="F1329" s="94"/>
      <c r="G1329" s="94"/>
    </row>
    <row r="1330" spans="1:7" x14ac:dyDescent="0.25">
      <c r="A1330" s="89"/>
      <c r="B1330" s="191"/>
      <c r="E1330" s="94"/>
      <c r="F1330" s="94"/>
      <c r="G1330" s="94"/>
    </row>
    <row r="1331" spans="1:7" x14ac:dyDescent="0.25">
      <c r="A1331" s="89"/>
      <c r="B1331" s="191"/>
      <c r="E1331" s="94"/>
      <c r="F1331" s="94"/>
      <c r="G1331" s="94"/>
    </row>
    <row r="1332" spans="1:7" x14ac:dyDescent="0.25">
      <c r="A1332" s="89"/>
      <c r="B1332" s="191"/>
      <c r="E1332" s="94"/>
      <c r="F1332" s="94"/>
      <c r="G1332" s="94"/>
    </row>
    <row r="1333" spans="1:7" x14ac:dyDescent="0.25">
      <c r="A1333" s="89"/>
      <c r="B1333" s="191"/>
      <c r="E1333" s="94"/>
      <c r="F1333" s="94"/>
      <c r="G1333" s="94"/>
    </row>
    <row r="1334" spans="1:7" x14ac:dyDescent="0.25">
      <c r="A1334" s="89"/>
      <c r="B1334" s="191"/>
      <c r="E1334" s="94"/>
      <c r="F1334" s="94"/>
      <c r="G1334" s="94"/>
    </row>
    <row r="1335" spans="1:7" x14ac:dyDescent="0.25">
      <c r="A1335" s="89"/>
      <c r="B1335" s="191"/>
      <c r="E1335" s="94"/>
      <c r="F1335" s="94"/>
      <c r="G1335" s="94"/>
    </row>
    <row r="1336" spans="1:7" x14ac:dyDescent="0.25">
      <c r="A1336" s="89"/>
      <c r="B1336" s="191"/>
      <c r="E1336" s="94"/>
      <c r="F1336" s="94"/>
      <c r="G1336" s="94"/>
    </row>
    <row r="1337" spans="1:7" x14ac:dyDescent="0.25">
      <c r="A1337" s="89"/>
      <c r="B1337" s="191"/>
      <c r="E1337" s="94"/>
      <c r="F1337" s="94"/>
      <c r="G1337" s="94"/>
    </row>
    <row r="1338" spans="1:7" x14ac:dyDescent="0.25">
      <c r="A1338" s="89"/>
      <c r="B1338" s="191"/>
      <c r="E1338" s="94"/>
      <c r="F1338" s="94"/>
      <c r="G1338" s="94"/>
    </row>
    <row r="1339" spans="1:7" x14ac:dyDescent="0.25">
      <c r="A1339" s="89"/>
      <c r="B1339" s="191"/>
      <c r="E1339" s="94"/>
      <c r="F1339" s="94"/>
      <c r="G1339" s="94"/>
    </row>
    <row r="1340" spans="1:7" x14ac:dyDescent="0.25">
      <c r="A1340" s="89"/>
      <c r="B1340" s="191"/>
      <c r="E1340" s="94"/>
      <c r="F1340" s="94"/>
      <c r="G1340" s="94"/>
    </row>
    <row r="1341" spans="1:7" x14ac:dyDescent="0.25">
      <c r="A1341" s="89"/>
      <c r="B1341" s="191"/>
      <c r="E1341" s="94"/>
      <c r="F1341" s="94"/>
      <c r="G1341" s="94"/>
    </row>
    <row r="1342" spans="1:7" x14ac:dyDescent="0.25">
      <c r="A1342" s="89"/>
      <c r="B1342" s="191"/>
      <c r="E1342" s="94"/>
      <c r="F1342" s="94"/>
      <c r="G1342" s="94"/>
    </row>
    <row r="1343" spans="1:7" x14ac:dyDescent="0.25">
      <c r="A1343" s="89"/>
      <c r="B1343" s="191"/>
      <c r="E1343" s="94"/>
      <c r="F1343" s="94"/>
      <c r="G1343" s="94"/>
    </row>
    <row r="1344" spans="1:7" x14ac:dyDescent="0.25">
      <c r="A1344" s="89"/>
      <c r="B1344" s="191"/>
      <c r="E1344" s="94"/>
      <c r="F1344" s="94"/>
      <c r="G1344" s="94"/>
    </row>
    <row r="1345" spans="1:7" x14ac:dyDescent="0.25">
      <c r="A1345" s="89"/>
      <c r="B1345" s="191"/>
      <c r="E1345" s="94"/>
      <c r="F1345" s="94"/>
      <c r="G1345" s="94"/>
    </row>
    <row r="1346" spans="1:7" x14ac:dyDescent="0.25">
      <c r="A1346" s="89"/>
      <c r="B1346" s="191"/>
      <c r="E1346" s="94"/>
      <c r="F1346" s="94"/>
      <c r="G1346" s="94"/>
    </row>
    <row r="1347" spans="1:7" x14ac:dyDescent="0.25">
      <c r="A1347" s="89"/>
      <c r="B1347" s="191"/>
      <c r="E1347" s="94"/>
      <c r="F1347" s="94"/>
      <c r="G1347" s="94"/>
    </row>
    <row r="1348" spans="1:7" x14ac:dyDescent="0.25">
      <c r="A1348" s="89"/>
      <c r="B1348" s="191"/>
      <c r="E1348" s="94"/>
      <c r="F1348" s="94"/>
      <c r="G1348" s="94"/>
    </row>
    <row r="1349" spans="1:7" x14ac:dyDescent="0.25">
      <c r="A1349" s="89"/>
      <c r="B1349" s="191"/>
      <c r="E1349" s="94"/>
      <c r="F1349" s="94"/>
      <c r="G1349" s="94"/>
    </row>
    <row r="1350" spans="1:7" x14ac:dyDescent="0.25">
      <c r="A1350" s="89"/>
      <c r="B1350" s="191"/>
      <c r="E1350" s="94"/>
      <c r="F1350" s="94"/>
      <c r="G1350" s="94"/>
    </row>
    <row r="1351" spans="1:7" x14ac:dyDescent="0.25">
      <c r="A1351" s="89"/>
      <c r="B1351" s="191"/>
      <c r="E1351" s="94"/>
      <c r="F1351" s="94"/>
      <c r="G1351" s="94"/>
    </row>
    <row r="1352" spans="1:7" x14ac:dyDescent="0.25">
      <c r="A1352" s="89"/>
      <c r="B1352" s="191"/>
      <c r="E1352" s="94"/>
      <c r="F1352" s="94"/>
      <c r="G1352" s="94"/>
    </row>
    <row r="1353" spans="1:7" x14ac:dyDescent="0.25">
      <c r="A1353" s="89"/>
      <c r="B1353" s="191"/>
      <c r="E1353" s="94"/>
      <c r="F1353" s="94"/>
      <c r="G1353" s="94"/>
    </row>
    <row r="1354" spans="1:7" x14ac:dyDescent="0.25">
      <c r="A1354" s="89"/>
      <c r="B1354" s="191"/>
      <c r="E1354" s="94"/>
      <c r="F1354" s="94"/>
      <c r="G1354" s="94"/>
    </row>
    <row r="1355" spans="1:7" x14ac:dyDescent="0.25">
      <c r="A1355" s="89"/>
      <c r="B1355" s="191"/>
      <c r="E1355" s="94"/>
      <c r="F1355" s="94"/>
      <c r="G1355" s="94"/>
    </row>
    <row r="1356" spans="1:7" x14ac:dyDescent="0.25">
      <c r="A1356" s="89"/>
      <c r="B1356" s="191"/>
      <c r="E1356" s="94"/>
      <c r="F1356" s="94"/>
      <c r="G1356" s="94"/>
    </row>
    <row r="1357" spans="1:7" x14ac:dyDescent="0.25">
      <c r="A1357" s="89"/>
      <c r="B1357" s="191"/>
      <c r="E1357" s="94"/>
      <c r="F1357" s="94"/>
      <c r="G1357" s="94"/>
    </row>
    <row r="1358" spans="1:7" x14ac:dyDescent="0.25">
      <c r="A1358" s="89"/>
      <c r="B1358" s="191"/>
      <c r="E1358" s="94"/>
      <c r="F1358" s="94"/>
      <c r="G1358" s="94"/>
    </row>
    <row r="1359" spans="1:7" x14ac:dyDescent="0.25">
      <c r="A1359" s="89"/>
      <c r="B1359" s="191"/>
      <c r="E1359" s="94"/>
      <c r="F1359" s="94"/>
      <c r="G1359" s="94"/>
    </row>
    <row r="1360" spans="1:7" x14ac:dyDescent="0.25">
      <c r="A1360" s="89"/>
      <c r="B1360" s="191"/>
      <c r="E1360" s="94"/>
      <c r="F1360" s="94"/>
      <c r="G1360" s="94"/>
    </row>
    <row r="1361" spans="1:7" x14ac:dyDescent="0.25">
      <c r="A1361" s="89"/>
      <c r="B1361" s="191"/>
      <c r="E1361" s="94"/>
      <c r="F1361" s="94"/>
      <c r="G1361" s="94"/>
    </row>
    <row r="1362" spans="1:7" x14ac:dyDescent="0.25">
      <c r="A1362" s="89"/>
      <c r="B1362" s="191"/>
      <c r="E1362" s="94"/>
      <c r="F1362" s="94"/>
      <c r="G1362" s="94"/>
    </row>
    <row r="1363" spans="1:7" x14ac:dyDescent="0.25">
      <c r="A1363" s="89"/>
      <c r="B1363" s="191"/>
      <c r="E1363" s="94"/>
      <c r="F1363" s="94"/>
      <c r="G1363" s="94"/>
    </row>
    <row r="1364" spans="1:7" x14ac:dyDescent="0.25">
      <c r="A1364" s="89"/>
      <c r="B1364" s="191"/>
      <c r="E1364" s="94"/>
      <c r="F1364" s="94"/>
      <c r="G1364" s="94"/>
    </row>
    <row r="1365" spans="1:7" x14ac:dyDescent="0.25">
      <c r="A1365" s="89"/>
      <c r="B1365" s="191"/>
      <c r="E1365" s="94"/>
      <c r="F1365" s="94"/>
      <c r="G1365" s="94"/>
    </row>
    <row r="1366" spans="1:7" x14ac:dyDescent="0.25">
      <c r="A1366" s="89"/>
      <c r="B1366" s="191"/>
      <c r="E1366" s="94"/>
      <c r="F1366" s="94"/>
      <c r="G1366" s="94"/>
    </row>
    <row r="1367" spans="1:7" x14ac:dyDescent="0.25">
      <c r="A1367" s="89"/>
      <c r="B1367" s="191"/>
      <c r="E1367" s="94"/>
      <c r="F1367" s="94"/>
      <c r="G1367" s="94"/>
    </row>
    <row r="1368" spans="1:7" x14ac:dyDescent="0.25">
      <c r="A1368" s="89"/>
      <c r="B1368" s="191"/>
      <c r="E1368" s="94"/>
      <c r="F1368" s="94"/>
      <c r="G1368" s="94"/>
    </row>
    <row r="1369" spans="1:7" x14ac:dyDescent="0.25">
      <c r="A1369" s="89"/>
      <c r="B1369" s="191"/>
      <c r="E1369" s="94"/>
      <c r="F1369" s="94"/>
      <c r="G1369" s="94"/>
    </row>
    <row r="1370" spans="1:7" x14ac:dyDescent="0.25">
      <c r="A1370" s="89"/>
      <c r="B1370" s="191"/>
      <c r="E1370" s="94"/>
      <c r="F1370" s="94"/>
      <c r="G1370" s="94"/>
    </row>
    <row r="1371" spans="1:7" x14ac:dyDescent="0.25">
      <c r="A1371" s="89"/>
      <c r="B1371" s="191"/>
      <c r="E1371" s="94"/>
      <c r="F1371" s="94"/>
      <c r="G1371" s="94"/>
    </row>
    <row r="1372" spans="1:7" x14ac:dyDescent="0.25">
      <c r="A1372" s="89"/>
      <c r="B1372" s="191"/>
      <c r="E1372" s="94"/>
      <c r="F1372" s="94"/>
      <c r="G1372" s="94"/>
    </row>
    <row r="1373" spans="1:7" x14ac:dyDescent="0.25">
      <c r="A1373" s="89"/>
      <c r="B1373" s="191"/>
      <c r="E1373" s="94"/>
      <c r="F1373" s="94"/>
      <c r="G1373" s="94"/>
    </row>
    <row r="1374" spans="1:7" x14ac:dyDescent="0.25">
      <c r="A1374" s="89"/>
      <c r="B1374" s="191"/>
      <c r="E1374" s="94"/>
      <c r="F1374" s="94"/>
      <c r="G1374" s="94"/>
    </row>
    <row r="1375" spans="1:7" x14ac:dyDescent="0.25">
      <c r="A1375" s="89"/>
      <c r="B1375" s="191"/>
      <c r="E1375" s="94"/>
      <c r="F1375" s="94"/>
      <c r="G1375" s="94"/>
    </row>
    <row r="1376" spans="1:7" x14ac:dyDescent="0.25">
      <c r="A1376" s="89"/>
      <c r="B1376" s="191"/>
      <c r="E1376" s="94"/>
      <c r="F1376" s="94"/>
      <c r="G1376" s="94"/>
    </row>
    <row r="1377" spans="1:7" x14ac:dyDescent="0.25">
      <c r="A1377" s="89"/>
      <c r="B1377" s="191"/>
      <c r="E1377" s="94"/>
      <c r="F1377" s="94"/>
      <c r="G1377" s="94"/>
    </row>
    <row r="1378" spans="1:7" x14ac:dyDescent="0.25">
      <c r="A1378" s="89"/>
      <c r="B1378" s="191"/>
      <c r="E1378" s="94"/>
      <c r="F1378" s="94"/>
      <c r="G1378" s="94"/>
    </row>
    <row r="1379" spans="1:7" x14ac:dyDescent="0.25">
      <c r="A1379" s="89"/>
      <c r="B1379" s="191"/>
      <c r="E1379" s="94"/>
      <c r="F1379" s="94"/>
      <c r="G1379" s="94"/>
    </row>
    <row r="1380" spans="1:7" x14ac:dyDescent="0.25">
      <c r="A1380" s="89"/>
      <c r="B1380" s="191"/>
      <c r="E1380" s="94"/>
      <c r="F1380" s="94"/>
      <c r="G1380" s="94"/>
    </row>
    <row r="1381" spans="1:7" x14ac:dyDescent="0.25">
      <c r="A1381" s="89"/>
      <c r="B1381" s="191"/>
      <c r="E1381" s="94"/>
      <c r="F1381" s="94"/>
      <c r="G1381" s="94"/>
    </row>
    <row r="1382" spans="1:7" x14ac:dyDescent="0.25">
      <c r="A1382" s="89"/>
      <c r="B1382" s="191"/>
      <c r="E1382" s="94"/>
      <c r="F1382" s="94"/>
      <c r="G1382" s="94"/>
    </row>
    <row r="1383" spans="1:7" x14ac:dyDescent="0.25">
      <c r="A1383" s="89"/>
      <c r="B1383" s="191"/>
      <c r="E1383" s="94"/>
      <c r="F1383" s="94"/>
      <c r="G1383" s="94"/>
    </row>
    <row r="1384" spans="1:7" x14ac:dyDescent="0.25">
      <c r="A1384" s="89"/>
      <c r="B1384" s="191"/>
      <c r="E1384" s="94"/>
      <c r="F1384" s="94"/>
      <c r="G1384" s="94"/>
    </row>
    <row r="1385" spans="1:7" x14ac:dyDescent="0.25">
      <c r="A1385" s="89"/>
      <c r="B1385" s="191"/>
      <c r="E1385" s="94"/>
      <c r="F1385" s="94"/>
      <c r="G1385" s="94"/>
    </row>
    <row r="1386" spans="1:7" x14ac:dyDescent="0.25">
      <c r="A1386" s="89"/>
      <c r="B1386" s="191"/>
      <c r="E1386" s="94"/>
      <c r="F1386" s="94"/>
      <c r="G1386" s="94"/>
    </row>
    <row r="1387" spans="1:7" x14ac:dyDescent="0.25">
      <c r="A1387" s="89"/>
      <c r="B1387" s="191"/>
      <c r="E1387" s="94"/>
      <c r="F1387" s="94"/>
      <c r="G1387" s="94"/>
    </row>
    <row r="1388" spans="1:7" x14ac:dyDescent="0.25">
      <c r="A1388" s="89"/>
      <c r="B1388" s="191"/>
      <c r="E1388" s="94"/>
      <c r="F1388" s="94"/>
      <c r="G1388" s="94"/>
    </row>
    <row r="1389" spans="1:7" x14ac:dyDescent="0.25">
      <c r="A1389" s="89"/>
      <c r="B1389" s="191"/>
      <c r="E1389" s="94"/>
      <c r="F1389" s="94"/>
      <c r="G1389" s="94"/>
    </row>
    <row r="1390" spans="1:7" x14ac:dyDescent="0.25">
      <c r="A1390" s="89"/>
      <c r="B1390" s="191"/>
      <c r="E1390" s="94"/>
      <c r="F1390" s="94"/>
      <c r="G1390" s="94"/>
    </row>
    <row r="1391" spans="1:7" x14ac:dyDescent="0.25">
      <c r="A1391" s="89"/>
      <c r="B1391" s="191"/>
      <c r="E1391" s="94"/>
      <c r="F1391" s="94"/>
      <c r="G1391" s="94"/>
    </row>
    <row r="1392" spans="1:7" x14ac:dyDescent="0.25">
      <c r="A1392" s="89"/>
      <c r="B1392" s="191"/>
      <c r="E1392" s="94"/>
      <c r="F1392" s="94"/>
      <c r="G1392" s="94"/>
    </row>
    <row r="1393" spans="1:7" x14ac:dyDescent="0.25">
      <c r="A1393" s="89"/>
      <c r="B1393" s="191"/>
      <c r="E1393" s="94"/>
      <c r="F1393" s="94"/>
      <c r="G1393" s="94"/>
    </row>
    <row r="1394" spans="1:7" x14ac:dyDescent="0.25">
      <c r="A1394" s="89"/>
      <c r="B1394" s="191"/>
      <c r="E1394" s="94"/>
      <c r="F1394" s="94"/>
      <c r="G1394" s="94"/>
    </row>
    <row r="1395" spans="1:7" x14ac:dyDescent="0.25">
      <c r="A1395" s="89"/>
      <c r="B1395" s="191"/>
      <c r="E1395" s="94"/>
      <c r="F1395" s="94"/>
      <c r="G1395" s="94"/>
    </row>
    <row r="1396" spans="1:7" x14ac:dyDescent="0.25">
      <c r="A1396" s="89"/>
      <c r="B1396" s="191"/>
      <c r="E1396" s="94"/>
      <c r="F1396" s="94"/>
      <c r="G1396" s="94"/>
    </row>
    <row r="1397" spans="1:7" x14ac:dyDescent="0.25">
      <c r="A1397" s="89"/>
      <c r="B1397" s="191"/>
      <c r="E1397" s="94"/>
      <c r="F1397" s="94"/>
      <c r="G1397" s="94"/>
    </row>
    <row r="1398" spans="1:7" x14ac:dyDescent="0.25">
      <c r="A1398" s="89"/>
      <c r="B1398" s="191"/>
      <c r="E1398" s="94"/>
      <c r="F1398" s="94"/>
      <c r="G1398" s="94"/>
    </row>
    <row r="1399" spans="1:7" x14ac:dyDescent="0.25">
      <c r="A1399" s="89"/>
      <c r="B1399" s="191"/>
      <c r="E1399" s="94"/>
      <c r="F1399" s="94"/>
      <c r="G1399" s="94"/>
    </row>
    <row r="1400" spans="1:7" x14ac:dyDescent="0.25">
      <c r="A1400" s="89"/>
      <c r="B1400" s="191"/>
      <c r="E1400" s="94"/>
      <c r="F1400" s="94"/>
      <c r="G1400" s="94"/>
    </row>
    <row r="1401" spans="1:7" x14ac:dyDescent="0.25">
      <c r="A1401" s="89"/>
      <c r="B1401" s="191"/>
      <c r="E1401" s="94"/>
      <c r="F1401" s="94"/>
      <c r="G1401" s="94"/>
    </row>
    <row r="1402" spans="1:7" x14ac:dyDescent="0.25">
      <c r="A1402" s="89"/>
      <c r="B1402" s="191"/>
      <c r="E1402" s="94"/>
      <c r="F1402" s="94"/>
      <c r="G1402" s="94"/>
    </row>
    <row r="1403" spans="1:7" x14ac:dyDescent="0.25">
      <c r="A1403" s="89"/>
      <c r="B1403" s="191"/>
      <c r="E1403" s="94"/>
      <c r="F1403" s="94"/>
      <c r="G1403" s="94"/>
    </row>
    <row r="1404" spans="1:7" x14ac:dyDescent="0.25">
      <c r="A1404" s="89"/>
      <c r="B1404" s="191"/>
      <c r="E1404" s="94"/>
      <c r="F1404" s="94"/>
      <c r="G1404" s="94"/>
    </row>
    <row r="1405" spans="1:7" x14ac:dyDescent="0.25">
      <c r="A1405" s="89"/>
      <c r="B1405" s="191"/>
      <c r="E1405" s="94"/>
      <c r="F1405" s="94"/>
      <c r="G1405" s="94"/>
    </row>
    <row r="1406" spans="1:7" x14ac:dyDescent="0.25">
      <c r="A1406" s="89"/>
      <c r="B1406" s="191"/>
      <c r="E1406" s="94"/>
      <c r="F1406" s="94"/>
      <c r="G1406" s="94"/>
    </row>
    <row r="1407" spans="1:7" x14ac:dyDescent="0.25">
      <c r="A1407" s="89"/>
      <c r="B1407" s="191"/>
      <c r="E1407" s="94"/>
      <c r="F1407" s="94"/>
      <c r="G1407" s="94"/>
    </row>
    <row r="1408" spans="1:7" x14ac:dyDescent="0.25">
      <c r="A1408" s="89"/>
      <c r="B1408" s="191"/>
      <c r="E1408" s="94"/>
      <c r="F1408" s="94"/>
      <c r="G1408" s="94"/>
    </row>
    <row r="1409" spans="1:7" x14ac:dyDescent="0.25">
      <c r="A1409" s="89"/>
      <c r="B1409" s="191"/>
      <c r="E1409" s="94"/>
      <c r="F1409" s="94"/>
      <c r="G1409" s="94"/>
    </row>
    <row r="1410" spans="1:7" x14ac:dyDescent="0.25">
      <c r="A1410" s="89"/>
      <c r="B1410" s="191"/>
      <c r="E1410" s="94"/>
      <c r="F1410" s="94"/>
      <c r="G1410" s="94"/>
    </row>
    <row r="1411" spans="1:7" x14ac:dyDescent="0.25">
      <c r="A1411" s="89"/>
      <c r="B1411" s="191"/>
      <c r="E1411" s="94"/>
      <c r="F1411" s="94"/>
      <c r="G1411" s="94"/>
    </row>
    <row r="1412" spans="1:7" x14ac:dyDescent="0.25">
      <c r="A1412" s="89"/>
      <c r="B1412" s="191"/>
      <c r="E1412" s="94"/>
      <c r="F1412" s="94"/>
      <c r="G1412" s="94"/>
    </row>
    <row r="1413" spans="1:7" x14ac:dyDescent="0.25">
      <c r="A1413" s="89"/>
      <c r="B1413" s="191"/>
      <c r="E1413" s="94"/>
      <c r="F1413" s="94"/>
      <c r="G1413" s="94"/>
    </row>
    <row r="1414" spans="1:7" x14ac:dyDescent="0.25">
      <c r="A1414" s="89"/>
      <c r="B1414" s="191"/>
      <c r="E1414" s="94"/>
      <c r="F1414" s="94"/>
      <c r="G1414" s="94"/>
    </row>
    <row r="1415" spans="1:7" x14ac:dyDescent="0.25">
      <c r="A1415" s="89"/>
      <c r="B1415" s="191"/>
      <c r="E1415" s="94"/>
      <c r="F1415" s="94"/>
      <c r="G1415" s="94"/>
    </row>
    <row r="1416" spans="1:7" x14ac:dyDescent="0.25">
      <c r="A1416" s="89"/>
      <c r="B1416" s="191"/>
      <c r="E1416" s="94"/>
      <c r="F1416" s="94"/>
      <c r="G1416" s="94"/>
    </row>
    <row r="1417" spans="1:7" x14ac:dyDescent="0.25">
      <c r="A1417" s="89"/>
      <c r="B1417" s="191"/>
      <c r="E1417" s="94"/>
      <c r="F1417" s="94"/>
      <c r="G1417" s="94"/>
    </row>
    <row r="1418" spans="1:7" x14ac:dyDescent="0.25">
      <c r="A1418" s="89"/>
      <c r="B1418" s="191"/>
      <c r="E1418" s="94"/>
      <c r="F1418" s="94"/>
      <c r="G1418" s="94"/>
    </row>
    <row r="1419" spans="1:7" x14ac:dyDescent="0.25">
      <c r="A1419" s="89"/>
      <c r="B1419" s="191"/>
      <c r="E1419" s="94"/>
      <c r="F1419" s="94"/>
      <c r="G1419" s="94"/>
    </row>
    <row r="1420" spans="1:7" x14ac:dyDescent="0.25">
      <c r="A1420" s="89"/>
      <c r="B1420" s="191"/>
      <c r="E1420" s="94"/>
      <c r="F1420" s="94"/>
      <c r="G1420" s="94"/>
    </row>
    <row r="1421" spans="1:7" x14ac:dyDescent="0.25">
      <c r="A1421" s="89"/>
      <c r="B1421" s="191"/>
      <c r="E1421" s="94"/>
      <c r="F1421" s="94"/>
      <c r="G1421" s="94"/>
    </row>
    <row r="1422" spans="1:7" x14ac:dyDescent="0.25">
      <c r="A1422" s="89"/>
      <c r="B1422" s="191"/>
      <c r="E1422" s="94"/>
      <c r="F1422" s="94"/>
      <c r="G1422" s="94"/>
    </row>
    <row r="1423" spans="1:7" x14ac:dyDescent="0.25">
      <c r="A1423" s="89"/>
      <c r="B1423" s="191"/>
      <c r="E1423" s="94"/>
      <c r="F1423" s="94"/>
      <c r="G1423" s="94"/>
    </row>
    <row r="1424" spans="1:7" x14ac:dyDescent="0.25">
      <c r="A1424" s="89"/>
      <c r="B1424" s="191"/>
      <c r="E1424" s="94"/>
      <c r="F1424" s="94"/>
      <c r="G1424" s="94"/>
    </row>
    <row r="1425" spans="1:7" x14ac:dyDescent="0.25">
      <c r="A1425" s="89"/>
      <c r="B1425" s="191"/>
      <c r="E1425" s="94"/>
      <c r="F1425" s="94"/>
      <c r="G1425" s="94"/>
    </row>
    <row r="1426" spans="1:7" x14ac:dyDescent="0.25">
      <c r="A1426" s="89"/>
      <c r="B1426" s="191"/>
      <c r="E1426" s="94"/>
      <c r="F1426" s="94"/>
      <c r="G1426" s="94"/>
    </row>
    <row r="1427" spans="1:7" x14ac:dyDescent="0.25">
      <c r="A1427" s="89"/>
      <c r="B1427" s="191"/>
      <c r="E1427" s="94"/>
      <c r="F1427" s="94"/>
      <c r="G1427" s="94"/>
    </row>
    <row r="1428" spans="1:7" x14ac:dyDescent="0.25">
      <c r="A1428" s="89"/>
      <c r="B1428" s="191"/>
      <c r="E1428" s="94"/>
      <c r="F1428" s="94"/>
      <c r="G1428" s="94"/>
    </row>
    <row r="1429" spans="1:7" x14ac:dyDescent="0.25">
      <c r="A1429" s="89"/>
      <c r="B1429" s="191"/>
      <c r="E1429" s="94"/>
      <c r="F1429" s="94"/>
      <c r="G1429" s="94"/>
    </row>
    <row r="1430" spans="1:7" x14ac:dyDescent="0.25">
      <c r="A1430" s="89"/>
      <c r="B1430" s="191"/>
      <c r="E1430" s="94"/>
      <c r="F1430" s="94"/>
      <c r="G1430" s="94"/>
    </row>
    <row r="1431" spans="1:7" x14ac:dyDescent="0.25">
      <c r="A1431" s="89"/>
      <c r="B1431" s="191"/>
      <c r="E1431" s="94"/>
      <c r="F1431" s="94"/>
      <c r="G1431" s="94"/>
    </row>
    <row r="1432" spans="1:7" x14ac:dyDescent="0.25">
      <c r="A1432" s="89"/>
      <c r="B1432" s="191"/>
      <c r="E1432" s="94"/>
      <c r="F1432" s="94"/>
      <c r="G1432" s="94"/>
    </row>
    <row r="1433" spans="1:7" x14ac:dyDescent="0.25">
      <c r="A1433" s="89"/>
      <c r="B1433" s="191"/>
      <c r="E1433" s="94"/>
      <c r="F1433" s="94"/>
      <c r="G1433" s="94"/>
    </row>
    <row r="1434" spans="1:7" x14ac:dyDescent="0.25">
      <c r="A1434" s="89"/>
      <c r="B1434" s="191"/>
      <c r="E1434" s="94"/>
      <c r="F1434" s="94"/>
      <c r="G1434" s="94"/>
    </row>
    <row r="1435" spans="1:7" x14ac:dyDescent="0.25">
      <c r="A1435" s="89"/>
      <c r="B1435" s="191"/>
      <c r="E1435" s="94"/>
      <c r="F1435" s="94"/>
      <c r="G1435" s="94"/>
    </row>
    <row r="1436" spans="1:7" x14ac:dyDescent="0.25">
      <c r="A1436" s="89"/>
      <c r="B1436" s="191"/>
      <c r="E1436" s="94"/>
      <c r="F1436" s="94"/>
      <c r="G1436" s="94"/>
    </row>
    <row r="1437" spans="1:7" x14ac:dyDescent="0.25">
      <c r="A1437" s="89"/>
      <c r="B1437" s="191"/>
      <c r="E1437" s="94"/>
      <c r="F1437" s="94"/>
      <c r="G1437" s="94"/>
    </row>
    <row r="1438" spans="1:7" x14ac:dyDescent="0.25">
      <c r="A1438" s="89"/>
      <c r="B1438" s="191"/>
      <c r="E1438" s="94"/>
      <c r="F1438" s="94"/>
      <c r="G1438" s="94"/>
    </row>
    <row r="1439" spans="1:7" x14ac:dyDescent="0.25">
      <c r="A1439" s="89"/>
      <c r="B1439" s="191"/>
      <c r="E1439" s="94"/>
      <c r="F1439" s="94"/>
      <c r="G1439" s="94"/>
    </row>
    <row r="1440" spans="1:7" x14ac:dyDescent="0.25">
      <c r="A1440" s="89"/>
      <c r="B1440" s="191"/>
      <c r="E1440" s="94"/>
      <c r="F1440" s="94"/>
      <c r="G1440" s="94"/>
    </row>
    <row r="1441" spans="1:7" x14ac:dyDescent="0.25">
      <c r="A1441" s="89"/>
      <c r="B1441" s="191"/>
      <c r="E1441" s="94"/>
      <c r="F1441" s="94"/>
      <c r="G1441" s="94"/>
    </row>
    <row r="1442" spans="1:7" x14ac:dyDescent="0.25">
      <c r="A1442" s="89"/>
      <c r="B1442" s="191"/>
      <c r="E1442" s="94"/>
      <c r="F1442" s="94"/>
      <c r="G1442" s="94"/>
    </row>
    <row r="1443" spans="1:7" x14ac:dyDescent="0.25">
      <c r="A1443" s="89"/>
      <c r="B1443" s="191"/>
      <c r="E1443" s="94"/>
      <c r="F1443" s="94"/>
      <c r="G1443" s="94"/>
    </row>
    <row r="1444" spans="1:7" x14ac:dyDescent="0.25">
      <c r="A1444" s="89"/>
      <c r="B1444" s="191"/>
      <c r="E1444" s="94"/>
      <c r="F1444" s="94"/>
      <c r="G1444" s="94"/>
    </row>
    <row r="1445" spans="1:7" x14ac:dyDescent="0.25">
      <c r="A1445" s="89"/>
      <c r="B1445" s="191"/>
      <c r="E1445" s="94"/>
      <c r="F1445" s="94"/>
      <c r="G1445" s="94"/>
    </row>
    <row r="1446" spans="1:7" x14ac:dyDescent="0.25">
      <c r="A1446" s="89"/>
      <c r="B1446" s="191"/>
      <c r="E1446" s="94"/>
      <c r="F1446" s="94"/>
      <c r="G1446" s="94"/>
    </row>
    <row r="1447" spans="1:7" x14ac:dyDescent="0.25">
      <c r="A1447" s="89"/>
      <c r="B1447" s="191"/>
      <c r="E1447" s="94"/>
      <c r="F1447" s="94"/>
      <c r="G1447" s="94"/>
    </row>
    <row r="1448" spans="1:7" x14ac:dyDescent="0.25">
      <c r="A1448" s="89"/>
      <c r="B1448" s="191"/>
      <c r="E1448" s="94"/>
      <c r="F1448" s="94"/>
      <c r="G1448" s="94"/>
    </row>
    <row r="1449" spans="1:7" x14ac:dyDescent="0.25">
      <c r="A1449" s="89"/>
      <c r="B1449" s="191"/>
      <c r="E1449" s="94"/>
      <c r="F1449" s="94"/>
      <c r="G1449" s="94"/>
    </row>
    <row r="1450" spans="1:7" x14ac:dyDescent="0.25">
      <c r="A1450" s="89"/>
      <c r="B1450" s="191"/>
      <c r="E1450" s="94"/>
      <c r="F1450" s="94"/>
      <c r="G1450" s="94"/>
    </row>
    <row r="1451" spans="1:7" x14ac:dyDescent="0.25">
      <c r="A1451" s="89"/>
      <c r="B1451" s="191"/>
      <c r="E1451" s="94"/>
      <c r="F1451" s="94"/>
      <c r="G1451" s="94"/>
    </row>
    <row r="1452" spans="1:7" x14ac:dyDescent="0.25">
      <c r="A1452" s="89"/>
      <c r="B1452" s="191"/>
      <c r="E1452" s="94"/>
      <c r="F1452" s="94"/>
      <c r="G1452" s="94"/>
    </row>
    <row r="1453" spans="1:7" x14ac:dyDescent="0.25">
      <c r="A1453" s="89"/>
      <c r="B1453" s="191"/>
      <c r="E1453" s="94"/>
      <c r="F1453" s="94"/>
      <c r="G1453" s="94"/>
    </row>
    <row r="1454" spans="1:7" x14ac:dyDescent="0.25">
      <c r="A1454" s="89"/>
      <c r="B1454" s="191"/>
      <c r="E1454" s="94"/>
      <c r="F1454" s="94"/>
      <c r="G1454" s="94"/>
    </row>
    <row r="1455" spans="1:7" x14ac:dyDescent="0.25">
      <c r="A1455" s="89"/>
      <c r="B1455" s="191"/>
      <c r="E1455" s="94"/>
      <c r="F1455" s="94"/>
      <c r="G1455" s="94"/>
    </row>
    <row r="1456" spans="1:7" x14ac:dyDescent="0.25">
      <c r="A1456" s="89"/>
      <c r="B1456" s="191"/>
      <c r="E1456" s="94"/>
      <c r="F1456" s="94"/>
      <c r="G1456" s="94"/>
    </row>
    <row r="1457" spans="1:7" x14ac:dyDescent="0.25">
      <c r="A1457" s="89"/>
      <c r="B1457" s="191"/>
      <c r="E1457" s="94"/>
      <c r="F1457" s="94"/>
      <c r="G1457" s="94"/>
    </row>
    <row r="1458" spans="1:7" x14ac:dyDescent="0.25">
      <c r="A1458" s="89"/>
      <c r="B1458" s="191"/>
      <c r="E1458" s="94"/>
      <c r="F1458" s="94"/>
      <c r="G1458" s="94"/>
    </row>
    <row r="1459" spans="1:7" x14ac:dyDescent="0.25">
      <c r="A1459" s="89"/>
      <c r="B1459" s="191"/>
      <c r="E1459" s="94"/>
      <c r="F1459" s="94"/>
      <c r="G1459" s="94"/>
    </row>
    <row r="1460" spans="1:7" x14ac:dyDescent="0.25">
      <c r="A1460" s="89"/>
      <c r="B1460" s="191"/>
      <c r="E1460" s="94"/>
      <c r="F1460" s="94"/>
      <c r="G1460" s="94"/>
    </row>
    <row r="1461" spans="1:7" x14ac:dyDescent="0.25">
      <c r="A1461" s="89"/>
      <c r="B1461" s="191"/>
      <c r="E1461" s="94"/>
      <c r="F1461" s="94"/>
      <c r="G1461" s="94"/>
    </row>
    <row r="1462" spans="1:7" x14ac:dyDescent="0.25">
      <c r="A1462" s="89"/>
      <c r="B1462" s="191"/>
      <c r="E1462" s="94"/>
      <c r="F1462" s="94"/>
      <c r="G1462" s="94"/>
    </row>
    <row r="1463" spans="1:7" x14ac:dyDescent="0.25">
      <c r="A1463" s="89"/>
      <c r="B1463" s="191"/>
      <c r="E1463" s="94"/>
      <c r="F1463" s="94"/>
      <c r="G1463" s="94"/>
    </row>
    <row r="1464" spans="1:7" x14ac:dyDescent="0.25">
      <c r="A1464" s="89"/>
      <c r="B1464" s="191"/>
      <c r="E1464" s="94"/>
      <c r="F1464" s="94"/>
      <c r="G1464" s="94"/>
    </row>
    <row r="1465" spans="1:7" x14ac:dyDescent="0.25">
      <c r="A1465" s="89"/>
      <c r="B1465" s="191"/>
      <c r="E1465" s="94"/>
      <c r="F1465" s="94"/>
      <c r="G1465" s="94"/>
    </row>
    <row r="1466" spans="1:7" x14ac:dyDescent="0.25">
      <c r="A1466" s="89"/>
      <c r="B1466" s="191"/>
      <c r="E1466" s="94"/>
      <c r="F1466" s="94"/>
      <c r="G1466" s="94"/>
    </row>
    <row r="1467" spans="1:7" x14ac:dyDescent="0.25">
      <c r="A1467" s="89"/>
      <c r="B1467" s="191"/>
      <c r="E1467" s="94"/>
      <c r="F1467" s="94"/>
      <c r="G1467" s="94"/>
    </row>
    <row r="1468" spans="1:7" x14ac:dyDescent="0.25">
      <c r="A1468" s="89"/>
      <c r="B1468" s="191"/>
      <c r="E1468" s="94"/>
      <c r="F1468" s="94"/>
      <c r="G1468" s="94"/>
    </row>
    <row r="1469" spans="1:7" x14ac:dyDescent="0.25">
      <c r="A1469" s="89"/>
      <c r="B1469" s="191"/>
      <c r="E1469" s="94"/>
      <c r="F1469" s="94"/>
      <c r="G1469" s="94"/>
    </row>
    <row r="1470" spans="1:7" x14ac:dyDescent="0.25">
      <c r="A1470" s="89"/>
      <c r="B1470" s="191"/>
      <c r="E1470" s="94"/>
      <c r="F1470" s="94"/>
      <c r="G1470" s="94"/>
    </row>
    <row r="1471" spans="1:7" x14ac:dyDescent="0.25">
      <c r="A1471" s="89"/>
      <c r="B1471" s="191"/>
      <c r="E1471" s="94"/>
      <c r="F1471" s="94"/>
      <c r="G1471" s="94"/>
    </row>
    <row r="1472" spans="1:7" x14ac:dyDescent="0.25">
      <c r="A1472" s="89"/>
      <c r="B1472" s="191"/>
      <c r="E1472" s="94"/>
      <c r="F1472" s="94"/>
      <c r="G1472" s="94"/>
    </row>
    <row r="1473" spans="1:7" x14ac:dyDescent="0.25">
      <c r="A1473" s="89"/>
      <c r="B1473" s="191"/>
      <c r="E1473" s="94"/>
      <c r="F1473" s="94"/>
      <c r="G1473" s="94"/>
    </row>
    <row r="1474" spans="1:7" x14ac:dyDescent="0.25">
      <c r="A1474" s="89"/>
      <c r="B1474" s="191"/>
      <c r="E1474" s="94"/>
      <c r="F1474" s="94"/>
      <c r="G1474" s="94"/>
    </row>
    <row r="1475" spans="1:7" x14ac:dyDescent="0.25">
      <c r="A1475" s="89"/>
      <c r="B1475" s="191"/>
      <c r="E1475" s="94"/>
      <c r="F1475" s="94"/>
      <c r="G1475" s="94"/>
    </row>
    <row r="1476" spans="1:7" x14ac:dyDescent="0.25">
      <c r="A1476" s="89"/>
      <c r="B1476" s="191"/>
      <c r="E1476" s="94"/>
      <c r="F1476" s="94"/>
      <c r="G1476" s="94"/>
    </row>
    <row r="1477" spans="1:7" x14ac:dyDescent="0.25">
      <c r="A1477" s="89"/>
      <c r="B1477" s="191"/>
      <c r="E1477" s="94"/>
      <c r="F1477" s="94"/>
      <c r="G1477" s="94"/>
    </row>
    <row r="1478" spans="1:7" x14ac:dyDescent="0.25">
      <c r="A1478" s="89"/>
      <c r="B1478" s="191"/>
      <c r="E1478" s="94"/>
      <c r="F1478" s="94"/>
      <c r="G1478" s="94"/>
    </row>
    <row r="1479" spans="1:7" x14ac:dyDescent="0.25">
      <c r="A1479" s="89"/>
      <c r="B1479" s="191"/>
      <c r="E1479" s="94"/>
      <c r="F1479" s="94"/>
      <c r="G1479" s="94"/>
    </row>
    <row r="1480" spans="1:7" x14ac:dyDescent="0.25">
      <c r="A1480" s="89"/>
      <c r="B1480" s="191"/>
      <c r="E1480" s="94"/>
      <c r="F1480" s="94"/>
      <c r="G1480" s="94"/>
    </row>
    <row r="1481" spans="1:7" x14ac:dyDescent="0.25">
      <c r="A1481" s="89"/>
      <c r="B1481" s="191"/>
      <c r="E1481" s="94"/>
      <c r="F1481" s="94"/>
      <c r="G1481" s="94"/>
    </row>
    <row r="1482" spans="1:7" x14ac:dyDescent="0.25">
      <c r="A1482" s="89"/>
      <c r="B1482" s="191"/>
      <c r="E1482" s="94"/>
      <c r="F1482" s="94"/>
      <c r="G1482" s="94"/>
    </row>
    <row r="1483" spans="1:7" x14ac:dyDescent="0.25">
      <c r="A1483" s="89"/>
      <c r="B1483" s="191"/>
      <c r="E1483" s="94"/>
      <c r="F1483" s="94"/>
      <c r="G1483" s="94"/>
    </row>
    <row r="1484" spans="1:7" x14ac:dyDescent="0.25">
      <c r="A1484" s="89"/>
      <c r="B1484" s="191"/>
      <c r="E1484" s="94"/>
      <c r="F1484" s="94"/>
      <c r="G1484" s="94"/>
    </row>
    <row r="1485" spans="1:7" x14ac:dyDescent="0.25">
      <c r="A1485" s="89"/>
      <c r="B1485" s="191"/>
      <c r="E1485" s="94"/>
      <c r="F1485" s="94"/>
      <c r="G1485" s="94"/>
    </row>
    <row r="1486" spans="1:7" x14ac:dyDescent="0.25">
      <c r="A1486" s="89"/>
      <c r="B1486" s="191"/>
      <c r="E1486" s="94"/>
      <c r="F1486" s="94"/>
      <c r="G1486" s="94"/>
    </row>
    <row r="1487" spans="1:7" x14ac:dyDescent="0.25">
      <c r="A1487" s="89"/>
      <c r="B1487" s="191"/>
      <c r="E1487" s="94"/>
      <c r="F1487" s="94"/>
      <c r="G1487" s="94"/>
    </row>
    <row r="1488" spans="1:7" x14ac:dyDescent="0.25">
      <c r="A1488" s="89"/>
      <c r="B1488" s="191"/>
      <c r="E1488" s="94"/>
      <c r="F1488" s="94"/>
      <c r="G1488" s="94"/>
    </row>
    <row r="1489" spans="1:7" x14ac:dyDescent="0.25">
      <c r="A1489" s="89"/>
      <c r="B1489" s="191"/>
      <c r="E1489" s="94"/>
      <c r="F1489" s="94"/>
      <c r="G1489" s="94"/>
    </row>
    <row r="1490" spans="1:7" x14ac:dyDescent="0.25">
      <c r="A1490" s="89"/>
      <c r="B1490" s="191"/>
      <c r="E1490" s="94"/>
      <c r="F1490" s="94"/>
      <c r="G1490" s="94"/>
    </row>
    <row r="1491" spans="1:7" x14ac:dyDescent="0.25">
      <c r="A1491" s="89"/>
      <c r="B1491" s="191"/>
      <c r="E1491" s="94"/>
      <c r="F1491" s="94"/>
      <c r="G1491" s="94"/>
    </row>
    <row r="1492" spans="1:7" x14ac:dyDescent="0.25">
      <c r="A1492" s="89"/>
      <c r="B1492" s="191"/>
      <c r="E1492" s="94"/>
      <c r="F1492" s="94"/>
      <c r="G1492" s="94"/>
    </row>
    <row r="1493" spans="1:7" x14ac:dyDescent="0.25">
      <c r="A1493" s="89"/>
      <c r="B1493" s="191"/>
      <c r="E1493" s="94"/>
      <c r="F1493" s="94"/>
      <c r="G1493" s="94"/>
    </row>
    <row r="1494" spans="1:7" x14ac:dyDescent="0.25">
      <c r="A1494" s="89"/>
      <c r="B1494" s="191"/>
      <c r="E1494" s="94"/>
      <c r="F1494" s="94"/>
      <c r="G1494" s="94"/>
    </row>
    <row r="1495" spans="1:7" x14ac:dyDescent="0.25">
      <c r="A1495" s="89"/>
      <c r="B1495" s="191"/>
      <c r="E1495" s="94"/>
      <c r="F1495" s="94"/>
      <c r="G1495" s="94"/>
    </row>
    <row r="1496" spans="1:7" x14ac:dyDescent="0.25">
      <c r="A1496" s="89"/>
      <c r="B1496" s="191"/>
      <c r="E1496" s="94"/>
      <c r="F1496" s="94"/>
      <c r="G1496" s="94"/>
    </row>
    <row r="1497" spans="1:7" x14ac:dyDescent="0.25">
      <c r="A1497" s="89"/>
      <c r="B1497" s="191"/>
      <c r="E1497" s="94"/>
      <c r="F1497" s="94"/>
      <c r="G1497" s="94"/>
    </row>
    <row r="1498" spans="1:7" x14ac:dyDescent="0.25">
      <c r="A1498" s="89"/>
      <c r="B1498" s="191"/>
      <c r="E1498" s="94"/>
      <c r="F1498" s="94"/>
      <c r="G1498" s="94"/>
    </row>
    <row r="1499" spans="1:7" x14ac:dyDescent="0.25">
      <c r="A1499" s="89"/>
      <c r="B1499" s="191"/>
      <c r="E1499" s="94"/>
      <c r="F1499" s="94"/>
      <c r="G1499" s="94"/>
    </row>
    <row r="1500" spans="1:7" x14ac:dyDescent="0.25">
      <c r="A1500" s="89"/>
      <c r="B1500" s="191"/>
      <c r="E1500" s="94"/>
      <c r="F1500" s="94"/>
      <c r="G1500" s="94"/>
    </row>
    <row r="1501" spans="1:7" x14ac:dyDescent="0.25">
      <c r="A1501" s="89"/>
      <c r="B1501" s="191"/>
      <c r="E1501" s="94"/>
      <c r="F1501" s="94"/>
      <c r="G1501" s="94"/>
    </row>
    <row r="1502" spans="1:7" x14ac:dyDescent="0.25">
      <c r="A1502" s="89"/>
      <c r="B1502" s="191"/>
      <c r="E1502" s="94"/>
      <c r="F1502" s="94"/>
      <c r="G1502" s="94"/>
    </row>
    <row r="1503" spans="1:7" x14ac:dyDescent="0.25">
      <c r="A1503" s="89"/>
      <c r="B1503" s="191"/>
      <c r="E1503" s="94"/>
      <c r="F1503" s="94"/>
      <c r="G1503" s="94"/>
    </row>
    <row r="1504" spans="1:7" x14ac:dyDescent="0.25">
      <c r="A1504" s="89"/>
      <c r="B1504" s="191"/>
      <c r="E1504" s="94"/>
      <c r="F1504" s="94"/>
      <c r="G1504" s="94"/>
    </row>
    <row r="1505" spans="1:7" x14ac:dyDescent="0.25">
      <c r="A1505" s="89"/>
      <c r="B1505" s="191"/>
      <c r="E1505" s="94"/>
      <c r="F1505" s="94"/>
      <c r="G1505" s="94"/>
    </row>
    <row r="1506" spans="1:7" x14ac:dyDescent="0.25">
      <c r="A1506" s="89"/>
      <c r="B1506" s="191"/>
      <c r="E1506" s="94"/>
      <c r="F1506" s="94"/>
      <c r="G1506" s="94"/>
    </row>
    <row r="1507" spans="1:7" x14ac:dyDescent="0.25">
      <c r="A1507" s="89"/>
      <c r="B1507" s="191"/>
      <c r="E1507" s="94"/>
      <c r="F1507" s="94"/>
      <c r="G1507" s="94"/>
    </row>
    <row r="1508" spans="1:7" x14ac:dyDescent="0.25">
      <c r="A1508" s="89"/>
      <c r="B1508" s="191"/>
      <c r="E1508" s="94"/>
      <c r="F1508" s="94"/>
      <c r="G1508" s="94"/>
    </row>
    <row r="1509" spans="1:7" x14ac:dyDescent="0.25">
      <c r="A1509" s="89"/>
      <c r="B1509" s="191"/>
      <c r="E1509" s="94"/>
      <c r="F1509" s="94"/>
      <c r="G1509" s="94"/>
    </row>
    <row r="1510" spans="1:7" x14ac:dyDescent="0.25">
      <c r="A1510" s="89"/>
      <c r="B1510" s="191"/>
      <c r="E1510" s="94"/>
      <c r="F1510" s="94"/>
      <c r="G1510" s="94"/>
    </row>
    <row r="1511" spans="1:7" x14ac:dyDescent="0.25">
      <c r="A1511" s="89"/>
      <c r="B1511" s="191"/>
      <c r="E1511" s="94"/>
      <c r="F1511" s="94"/>
      <c r="G1511" s="94"/>
    </row>
    <row r="1512" spans="1:7" x14ac:dyDescent="0.25">
      <c r="A1512" s="89"/>
      <c r="B1512" s="191"/>
      <c r="E1512" s="94"/>
      <c r="F1512" s="94"/>
      <c r="G1512" s="94"/>
    </row>
    <row r="1513" spans="1:7" x14ac:dyDescent="0.25">
      <c r="A1513" s="89"/>
      <c r="B1513" s="191"/>
      <c r="E1513" s="94"/>
      <c r="F1513" s="94"/>
      <c r="G1513" s="94"/>
    </row>
    <row r="1514" spans="1:7" x14ac:dyDescent="0.25">
      <c r="A1514" s="89"/>
      <c r="B1514" s="191"/>
      <c r="E1514" s="94"/>
      <c r="F1514" s="94"/>
      <c r="G1514" s="94"/>
    </row>
    <row r="1515" spans="1:7" x14ac:dyDescent="0.25">
      <c r="A1515" s="89"/>
      <c r="B1515" s="191"/>
      <c r="E1515" s="94"/>
      <c r="F1515" s="94"/>
      <c r="G1515" s="94"/>
    </row>
    <row r="1516" spans="1:7" x14ac:dyDescent="0.25">
      <c r="A1516" s="89"/>
      <c r="B1516" s="191"/>
      <c r="E1516" s="94"/>
      <c r="F1516" s="94"/>
      <c r="G1516" s="94"/>
    </row>
    <row r="1517" spans="1:7" x14ac:dyDescent="0.25">
      <c r="A1517" s="89"/>
      <c r="B1517" s="191"/>
      <c r="E1517" s="94"/>
      <c r="F1517" s="94"/>
      <c r="G1517" s="94"/>
    </row>
    <row r="1518" spans="1:7" x14ac:dyDescent="0.25">
      <c r="A1518" s="89"/>
      <c r="B1518" s="191"/>
      <c r="E1518" s="94"/>
      <c r="F1518" s="94"/>
      <c r="G1518" s="94"/>
    </row>
    <row r="1519" spans="1:7" x14ac:dyDescent="0.25">
      <c r="A1519" s="89"/>
      <c r="B1519" s="191"/>
      <c r="E1519" s="94"/>
      <c r="F1519" s="94"/>
      <c r="G1519" s="94"/>
    </row>
    <row r="1520" spans="1:7" x14ac:dyDescent="0.25">
      <c r="A1520" s="89"/>
      <c r="B1520" s="191"/>
      <c r="E1520" s="94"/>
      <c r="F1520" s="94"/>
      <c r="G1520" s="94"/>
    </row>
    <row r="1521" spans="1:7" x14ac:dyDescent="0.25">
      <c r="A1521" s="89"/>
      <c r="B1521" s="191"/>
      <c r="E1521" s="94"/>
      <c r="F1521" s="94"/>
      <c r="G1521" s="94"/>
    </row>
    <row r="1522" spans="1:7" x14ac:dyDescent="0.25">
      <c r="A1522" s="89"/>
      <c r="B1522" s="191"/>
      <c r="E1522" s="94"/>
      <c r="F1522" s="94"/>
      <c r="G1522" s="94"/>
    </row>
    <row r="1523" spans="1:7" x14ac:dyDescent="0.25">
      <c r="A1523" s="89"/>
      <c r="B1523" s="191"/>
      <c r="E1523" s="94"/>
      <c r="F1523" s="94"/>
      <c r="G1523" s="94"/>
    </row>
    <row r="1524" spans="1:7" x14ac:dyDescent="0.25">
      <c r="A1524" s="89"/>
      <c r="B1524" s="191"/>
      <c r="E1524" s="94"/>
      <c r="F1524" s="94"/>
      <c r="G1524" s="94"/>
    </row>
    <row r="1525" spans="1:7" x14ac:dyDescent="0.25">
      <c r="A1525" s="89"/>
      <c r="B1525" s="191"/>
      <c r="E1525" s="94"/>
      <c r="F1525" s="94"/>
      <c r="G1525" s="94"/>
    </row>
    <row r="1526" spans="1:7" x14ac:dyDescent="0.25">
      <c r="A1526" s="89"/>
      <c r="B1526" s="191"/>
      <c r="E1526" s="94"/>
      <c r="F1526" s="94"/>
      <c r="G1526" s="94"/>
    </row>
    <row r="1527" spans="1:7" x14ac:dyDescent="0.25">
      <c r="A1527" s="89"/>
      <c r="B1527" s="191"/>
      <c r="E1527" s="94"/>
      <c r="F1527" s="94"/>
      <c r="G1527" s="94"/>
    </row>
    <row r="1528" spans="1:7" x14ac:dyDescent="0.25">
      <c r="A1528" s="89"/>
      <c r="B1528" s="191"/>
      <c r="E1528" s="94"/>
      <c r="F1528" s="94"/>
      <c r="G1528" s="94"/>
    </row>
    <row r="1529" spans="1:7" x14ac:dyDescent="0.25">
      <c r="A1529" s="89"/>
      <c r="B1529" s="191"/>
      <c r="E1529" s="94"/>
      <c r="F1529" s="94"/>
      <c r="G1529" s="94"/>
    </row>
    <row r="1530" spans="1:7" x14ac:dyDescent="0.25">
      <c r="A1530" s="89"/>
      <c r="B1530" s="191"/>
      <c r="E1530" s="94"/>
      <c r="F1530" s="94"/>
      <c r="G1530" s="94"/>
    </row>
    <row r="1531" spans="1:7" x14ac:dyDescent="0.25">
      <c r="A1531" s="89"/>
      <c r="B1531" s="191"/>
      <c r="E1531" s="94"/>
      <c r="F1531" s="94"/>
      <c r="G1531" s="94"/>
    </row>
    <row r="1532" spans="1:7" x14ac:dyDescent="0.25">
      <c r="A1532" s="89"/>
      <c r="B1532" s="191"/>
      <c r="E1532" s="94"/>
      <c r="F1532" s="94"/>
      <c r="G1532" s="94"/>
    </row>
    <row r="1533" spans="1:7" x14ac:dyDescent="0.25">
      <c r="A1533" s="89"/>
      <c r="B1533" s="191"/>
      <c r="E1533" s="94"/>
      <c r="F1533" s="94"/>
      <c r="G1533" s="94"/>
    </row>
    <row r="1534" spans="1:7" x14ac:dyDescent="0.25">
      <c r="A1534" s="89"/>
      <c r="B1534" s="191"/>
      <c r="E1534" s="94"/>
      <c r="F1534" s="94"/>
      <c r="G1534" s="94"/>
    </row>
    <row r="1535" spans="1:7" x14ac:dyDescent="0.25">
      <c r="A1535" s="89"/>
      <c r="B1535" s="191"/>
      <c r="E1535" s="94"/>
      <c r="F1535" s="94"/>
      <c r="G1535" s="94"/>
    </row>
    <row r="1536" spans="1:7" x14ac:dyDescent="0.25">
      <c r="A1536" s="89"/>
      <c r="B1536" s="191"/>
      <c r="E1536" s="94"/>
      <c r="F1536" s="94"/>
      <c r="G1536" s="94"/>
    </row>
    <row r="1537" spans="1:7" x14ac:dyDescent="0.25">
      <c r="A1537" s="89"/>
      <c r="B1537" s="191"/>
      <c r="E1537" s="94"/>
      <c r="F1537" s="94"/>
      <c r="G1537" s="94"/>
    </row>
    <row r="1538" spans="1:7" x14ac:dyDescent="0.25">
      <c r="A1538" s="89"/>
      <c r="B1538" s="191"/>
      <c r="E1538" s="94"/>
      <c r="F1538" s="94"/>
      <c r="G1538" s="94"/>
    </row>
    <row r="1539" spans="1:7" x14ac:dyDescent="0.25">
      <c r="A1539" s="89"/>
      <c r="B1539" s="191"/>
      <c r="E1539" s="94"/>
      <c r="F1539" s="94"/>
      <c r="G1539" s="94"/>
    </row>
    <row r="1540" spans="1:7" x14ac:dyDescent="0.25">
      <c r="A1540" s="89"/>
      <c r="B1540" s="191"/>
      <c r="E1540" s="94"/>
      <c r="F1540" s="94"/>
      <c r="G1540" s="94"/>
    </row>
    <row r="1541" spans="1:7" x14ac:dyDescent="0.25">
      <c r="A1541" s="89"/>
      <c r="B1541" s="191"/>
      <c r="E1541" s="94"/>
      <c r="F1541" s="94"/>
      <c r="G1541" s="94"/>
    </row>
    <row r="1542" spans="1:7" x14ac:dyDescent="0.25">
      <c r="A1542" s="89"/>
      <c r="B1542" s="191"/>
      <c r="E1542" s="94"/>
      <c r="F1542" s="94"/>
      <c r="G1542" s="94"/>
    </row>
    <row r="1543" spans="1:7" x14ac:dyDescent="0.25">
      <c r="A1543" s="89"/>
      <c r="B1543" s="191"/>
      <c r="E1543" s="94"/>
      <c r="F1543" s="94"/>
      <c r="G1543" s="94"/>
    </row>
    <row r="1544" spans="1:7" x14ac:dyDescent="0.25">
      <c r="A1544" s="89"/>
      <c r="B1544" s="191"/>
      <c r="E1544" s="94"/>
      <c r="F1544" s="94"/>
      <c r="G1544" s="94"/>
    </row>
    <row r="1545" spans="1:7" x14ac:dyDescent="0.25">
      <c r="A1545" s="89"/>
      <c r="B1545" s="191"/>
      <c r="E1545" s="94"/>
      <c r="F1545" s="94"/>
      <c r="G1545" s="94"/>
    </row>
    <row r="1546" spans="1:7" x14ac:dyDescent="0.25">
      <c r="A1546" s="89"/>
      <c r="B1546" s="191"/>
      <c r="E1546" s="94"/>
      <c r="F1546" s="94"/>
      <c r="G1546" s="94"/>
    </row>
    <row r="1547" spans="1:7" x14ac:dyDescent="0.25">
      <c r="A1547" s="89"/>
      <c r="B1547" s="191"/>
      <c r="E1547" s="94"/>
      <c r="F1547" s="94"/>
      <c r="G1547" s="94"/>
    </row>
    <row r="1548" spans="1:7" x14ac:dyDescent="0.25">
      <c r="A1548" s="89"/>
      <c r="B1548" s="191"/>
      <c r="E1548" s="94"/>
      <c r="F1548" s="94"/>
      <c r="G1548" s="94"/>
    </row>
    <row r="1549" spans="1:7" x14ac:dyDescent="0.25">
      <c r="A1549" s="89"/>
      <c r="B1549" s="191"/>
      <c r="E1549" s="94"/>
      <c r="F1549" s="94"/>
      <c r="G1549" s="94"/>
    </row>
    <row r="1550" spans="1:7" x14ac:dyDescent="0.25">
      <c r="A1550" s="89"/>
      <c r="B1550" s="191"/>
      <c r="E1550" s="94"/>
      <c r="F1550" s="94"/>
      <c r="G1550" s="94"/>
    </row>
    <row r="1551" spans="1:7" x14ac:dyDescent="0.25">
      <c r="A1551" s="89"/>
      <c r="B1551" s="191"/>
      <c r="E1551" s="94"/>
      <c r="F1551" s="94"/>
      <c r="G1551" s="94"/>
    </row>
    <row r="1552" spans="1:7" x14ac:dyDescent="0.25">
      <c r="A1552" s="89"/>
      <c r="B1552" s="191"/>
      <c r="E1552" s="94"/>
      <c r="F1552" s="94"/>
      <c r="G1552" s="94"/>
    </row>
    <row r="1553" spans="1:7" x14ac:dyDescent="0.25">
      <c r="A1553" s="89"/>
      <c r="B1553" s="191"/>
      <c r="E1553" s="94"/>
      <c r="F1553" s="94"/>
      <c r="G1553" s="94"/>
    </row>
    <row r="1554" spans="1:7" x14ac:dyDescent="0.25">
      <c r="A1554" s="89"/>
      <c r="B1554" s="191"/>
      <c r="E1554" s="94"/>
      <c r="F1554" s="94"/>
      <c r="G1554" s="94"/>
    </row>
    <row r="1555" spans="1:7" x14ac:dyDescent="0.25">
      <c r="A1555" s="89"/>
      <c r="B1555" s="191"/>
      <c r="E1555" s="94"/>
      <c r="F1555" s="94"/>
      <c r="G1555" s="94"/>
    </row>
    <row r="1556" spans="1:7" x14ac:dyDescent="0.25">
      <c r="A1556" s="89"/>
      <c r="B1556" s="191"/>
      <c r="E1556" s="94"/>
      <c r="F1556" s="94"/>
      <c r="G1556" s="94"/>
    </row>
    <row r="1557" spans="1:7" x14ac:dyDescent="0.25">
      <c r="A1557" s="89"/>
      <c r="B1557" s="191"/>
      <c r="E1557" s="94"/>
      <c r="F1557" s="94"/>
      <c r="G1557" s="94"/>
    </row>
    <row r="1558" spans="1:7" x14ac:dyDescent="0.25">
      <c r="A1558" s="89"/>
      <c r="B1558" s="191"/>
      <c r="E1558" s="94"/>
      <c r="F1558" s="94"/>
      <c r="G1558" s="94"/>
    </row>
    <row r="1559" spans="1:7" x14ac:dyDescent="0.25">
      <c r="A1559" s="89"/>
      <c r="B1559" s="191"/>
      <c r="E1559" s="94"/>
      <c r="F1559" s="94"/>
      <c r="G1559" s="94"/>
    </row>
    <row r="1560" spans="1:7" x14ac:dyDescent="0.25">
      <c r="A1560" s="89"/>
      <c r="B1560" s="191"/>
      <c r="E1560" s="94"/>
      <c r="F1560" s="94"/>
      <c r="G1560" s="94"/>
    </row>
    <row r="1561" spans="1:7" x14ac:dyDescent="0.25">
      <c r="A1561" s="89"/>
      <c r="B1561" s="191"/>
      <c r="E1561" s="94"/>
      <c r="F1561" s="94"/>
      <c r="G1561" s="94"/>
    </row>
    <row r="1562" spans="1:7" x14ac:dyDescent="0.25">
      <c r="A1562" s="89"/>
      <c r="B1562" s="191"/>
      <c r="E1562" s="94"/>
      <c r="F1562" s="94"/>
      <c r="G1562" s="94"/>
    </row>
    <row r="1563" spans="1:7" x14ac:dyDescent="0.25">
      <c r="A1563" s="89"/>
      <c r="B1563" s="191"/>
      <c r="E1563" s="94"/>
      <c r="F1563" s="94"/>
      <c r="G1563" s="94"/>
    </row>
    <row r="1564" spans="1:7" x14ac:dyDescent="0.25">
      <c r="A1564" s="89"/>
      <c r="B1564" s="191"/>
      <c r="E1564" s="94"/>
      <c r="F1564" s="94"/>
      <c r="G1564" s="94"/>
    </row>
    <row r="1565" spans="1:7" x14ac:dyDescent="0.25">
      <c r="A1565" s="89"/>
      <c r="B1565" s="191"/>
      <c r="E1565" s="94"/>
      <c r="F1565" s="94"/>
      <c r="G1565" s="94"/>
    </row>
    <row r="1566" spans="1:7" x14ac:dyDescent="0.25">
      <c r="A1566" s="89"/>
      <c r="B1566" s="191"/>
      <c r="E1566" s="94"/>
      <c r="F1566" s="94"/>
      <c r="G1566" s="94"/>
    </row>
    <row r="1567" spans="1:7" x14ac:dyDescent="0.25">
      <c r="A1567" s="89"/>
      <c r="B1567" s="191"/>
      <c r="E1567" s="94"/>
      <c r="F1567" s="94"/>
      <c r="G1567" s="94"/>
    </row>
    <row r="1568" spans="1:7" x14ac:dyDescent="0.25">
      <c r="A1568" s="89"/>
      <c r="B1568" s="191"/>
      <c r="E1568" s="94"/>
      <c r="F1568" s="94"/>
      <c r="G1568" s="94"/>
    </row>
    <row r="1569" spans="1:7" x14ac:dyDescent="0.25">
      <c r="A1569" s="89"/>
      <c r="B1569" s="191"/>
      <c r="E1569" s="94"/>
      <c r="F1569" s="94"/>
      <c r="G1569" s="94"/>
    </row>
    <row r="1570" spans="1:7" x14ac:dyDescent="0.25">
      <c r="A1570" s="89"/>
      <c r="B1570" s="191"/>
      <c r="E1570" s="94"/>
      <c r="F1570" s="94"/>
      <c r="G1570" s="94"/>
    </row>
    <row r="1571" spans="1:7" x14ac:dyDescent="0.25">
      <c r="A1571" s="89"/>
      <c r="B1571" s="191"/>
      <c r="E1571" s="94"/>
      <c r="F1571" s="94"/>
      <c r="G1571" s="94"/>
    </row>
    <row r="1572" spans="1:7" x14ac:dyDescent="0.25">
      <c r="A1572" s="89"/>
      <c r="B1572" s="191"/>
      <c r="E1572" s="94"/>
      <c r="F1572" s="94"/>
      <c r="G1572" s="94"/>
    </row>
    <row r="1573" spans="1:7" x14ac:dyDescent="0.25">
      <c r="A1573" s="89"/>
      <c r="B1573" s="191"/>
      <c r="E1573" s="94"/>
      <c r="F1573" s="94"/>
      <c r="G1573" s="94"/>
    </row>
    <row r="1574" spans="1:7" x14ac:dyDescent="0.25">
      <c r="A1574" s="89"/>
      <c r="B1574" s="191"/>
      <c r="E1574" s="94"/>
      <c r="F1574" s="94"/>
      <c r="G1574" s="94"/>
    </row>
    <row r="1575" spans="1:7" x14ac:dyDescent="0.25">
      <c r="A1575" s="89"/>
      <c r="B1575" s="191"/>
      <c r="E1575" s="94"/>
      <c r="F1575" s="94"/>
      <c r="G1575" s="94"/>
    </row>
    <row r="1576" spans="1:7" x14ac:dyDescent="0.25">
      <c r="A1576" s="89"/>
      <c r="B1576" s="191"/>
      <c r="E1576" s="94"/>
      <c r="F1576" s="94"/>
      <c r="G1576" s="94"/>
    </row>
    <row r="1577" spans="1:7" x14ac:dyDescent="0.25">
      <c r="A1577" s="89"/>
      <c r="B1577" s="191"/>
      <c r="E1577" s="94"/>
      <c r="F1577" s="94"/>
      <c r="G1577" s="94"/>
    </row>
    <row r="1578" spans="1:7" x14ac:dyDescent="0.25">
      <c r="A1578" s="89"/>
      <c r="B1578" s="191"/>
      <c r="E1578" s="94"/>
      <c r="F1578" s="94"/>
      <c r="G1578" s="94"/>
    </row>
    <row r="1579" spans="1:7" x14ac:dyDescent="0.25">
      <c r="A1579" s="89"/>
      <c r="B1579" s="191"/>
      <c r="E1579" s="94"/>
      <c r="F1579" s="94"/>
      <c r="G1579" s="94"/>
    </row>
    <row r="1580" spans="1:7" x14ac:dyDescent="0.25">
      <c r="A1580" s="89"/>
      <c r="B1580" s="191"/>
      <c r="E1580" s="94"/>
      <c r="F1580" s="94"/>
      <c r="G1580" s="94"/>
    </row>
    <row r="1581" spans="1:7" x14ac:dyDescent="0.25">
      <c r="A1581" s="89"/>
      <c r="B1581" s="191"/>
      <c r="E1581" s="94"/>
      <c r="F1581" s="94"/>
      <c r="G1581" s="94"/>
    </row>
    <row r="1582" spans="1:7" x14ac:dyDescent="0.25">
      <c r="A1582" s="89"/>
      <c r="B1582" s="191"/>
      <c r="E1582" s="94"/>
      <c r="F1582" s="94"/>
      <c r="G1582" s="94"/>
    </row>
    <row r="1583" spans="1:7" x14ac:dyDescent="0.25">
      <c r="A1583" s="89"/>
      <c r="B1583" s="191"/>
      <c r="E1583" s="94"/>
      <c r="F1583" s="94"/>
      <c r="G1583" s="94"/>
    </row>
    <row r="1584" spans="1:7" x14ac:dyDescent="0.25">
      <c r="A1584" s="89"/>
      <c r="B1584" s="191"/>
      <c r="E1584" s="94"/>
      <c r="F1584" s="94"/>
      <c r="G1584" s="94"/>
    </row>
    <row r="1585" spans="1:7" x14ac:dyDescent="0.25">
      <c r="A1585" s="89"/>
      <c r="B1585" s="191"/>
      <c r="E1585" s="94"/>
      <c r="F1585" s="94"/>
      <c r="G1585" s="94"/>
    </row>
    <row r="1586" spans="1:7" x14ac:dyDescent="0.25">
      <c r="A1586" s="89"/>
      <c r="B1586" s="191"/>
      <c r="E1586" s="94"/>
      <c r="F1586" s="94"/>
      <c r="G1586" s="94"/>
    </row>
    <row r="1587" spans="1:7" x14ac:dyDescent="0.25">
      <c r="A1587" s="89"/>
      <c r="B1587" s="191"/>
      <c r="E1587" s="94"/>
      <c r="F1587" s="94"/>
      <c r="G1587" s="94"/>
    </row>
    <row r="1588" spans="1:7" x14ac:dyDescent="0.25">
      <c r="A1588" s="89"/>
      <c r="B1588" s="191"/>
      <c r="E1588" s="94"/>
      <c r="F1588" s="94"/>
      <c r="G1588" s="94"/>
    </row>
    <row r="1589" spans="1:7" x14ac:dyDescent="0.25">
      <c r="A1589" s="89"/>
      <c r="B1589" s="191"/>
      <c r="E1589" s="94"/>
      <c r="F1589" s="94"/>
      <c r="G1589" s="94"/>
    </row>
    <row r="1590" spans="1:7" x14ac:dyDescent="0.25">
      <c r="A1590" s="89"/>
      <c r="B1590" s="191"/>
      <c r="E1590" s="94"/>
      <c r="F1590" s="94"/>
      <c r="G1590" s="94"/>
    </row>
    <row r="1591" spans="1:7" x14ac:dyDescent="0.25">
      <c r="A1591" s="89"/>
      <c r="B1591" s="191"/>
      <c r="E1591" s="94"/>
      <c r="F1591" s="94"/>
      <c r="G1591" s="94"/>
    </row>
    <row r="1592" spans="1:7" x14ac:dyDescent="0.25">
      <c r="A1592" s="89"/>
      <c r="B1592" s="191"/>
      <c r="E1592" s="94"/>
      <c r="F1592" s="94"/>
      <c r="G1592" s="94"/>
    </row>
    <row r="1593" spans="1:7" x14ac:dyDescent="0.25">
      <c r="A1593" s="89"/>
      <c r="B1593" s="191"/>
      <c r="E1593" s="94"/>
      <c r="F1593" s="94"/>
      <c r="G1593" s="94"/>
    </row>
    <row r="1594" spans="1:7" x14ac:dyDescent="0.25">
      <c r="A1594" s="89"/>
      <c r="B1594" s="191"/>
      <c r="E1594" s="94"/>
      <c r="F1594" s="94"/>
      <c r="G1594" s="94"/>
    </row>
    <row r="1595" spans="1:7" x14ac:dyDescent="0.25">
      <c r="A1595" s="89"/>
      <c r="B1595" s="191"/>
      <c r="E1595" s="94"/>
      <c r="F1595" s="94"/>
      <c r="G1595" s="94"/>
    </row>
    <row r="1596" spans="1:7" x14ac:dyDescent="0.25">
      <c r="A1596" s="89"/>
      <c r="B1596" s="191"/>
      <c r="E1596" s="94"/>
      <c r="F1596" s="94"/>
      <c r="G1596" s="94"/>
    </row>
    <row r="1597" spans="1:7" x14ac:dyDescent="0.25">
      <c r="A1597" s="89"/>
      <c r="B1597" s="191"/>
      <c r="E1597" s="94"/>
      <c r="F1597" s="94"/>
      <c r="G1597" s="94"/>
    </row>
    <row r="1598" spans="1:7" x14ac:dyDescent="0.25">
      <c r="A1598" s="89"/>
      <c r="B1598" s="191"/>
      <c r="E1598" s="94"/>
      <c r="F1598" s="94"/>
      <c r="G1598" s="94"/>
    </row>
    <row r="1599" spans="1:7" x14ac:dyDescent="0.25">
      <c r="A1599" s="89"/>
      <c r="B1599" s="191"/>
      <c r="E1599" s="94"/>
      <c r="F1599" s="94"/>
      <c r="G1599" s="94"/>
    </row>
    <row r="1600" spans="1:7" x14ac:dyDescent="0.25">
      <c r="A1600" s="89"/>
      <c r="B1600" s="191"/>
      <c r="E1600" s="94"/>
      <c r="F1600" s="94"/>
      <c r="G1600" s="94"/>
    </row>
    <row r="1601" spans="1:7" x14ac:dyDescent="0.25">
      <c r="A1601" s="89"/>
      <c r="B1601" s="191"/>
      <c r="E1601" s="94"/>
      <c r="F1601" s="94"/>
      <c r="G1601" s="94"/>
    </row>
    <row r="1602" spans="1:7" x14ac:dyDescent="0.25">
      <c r="A1602" s="89"/>
      <c r="B1602" s="191"/>
      <c r="E1602" s="94"/>
      <c r="F1602" s="94"/>
      <c r="G1602" s="94"/>
    </row>
    <row r="1603" spans="1:7" x14ac:dyDescent="0.25">
      <c r="A1603" s="89"/>
      <c r="B1603" s="191"/>
      <c r="E1603" s="94"/>
      <c r="F1603" s="94"/>
      <c r="G1603" s="94"/>
    </row>
    <row r="1604" spans="1:7" x14ac:dyDescent="0.25">
      <c r="A1604" s="89"/>
      <c r="B1604" s="191"/>
      <c r="E1604" s="94"/>
      <c r="F1604" s="94"/>
      <c r="G1604" s="94"/>
    </row>
    <row r="1605" spans="1:7" x14ac:dyDescent="0.25">
      <c r="A1605" s="89"/>
      <c r="B1605" s="191"/>
      <c r="E1605" s="94"/>
      <c r="F1605" s="94"/>
      <c r="G1605" s="94"/>
    </row>
    <row r="1606" spans="1:7" x14ac:dyDescent="0.25">
      <c r="A1606" s="89"/>
      <c r="B1606" s="191"/>
      <c r="E1606" s="94"/>
      <c r="F1606" s="94"/>
      <c r="G1606" s="94"/>
    </row>
    <row r="1607" spans="1:7" x14ac:dyDescent="0.25">
      <c r="A1607" s="89"/>
      <c r="B1607" s="191"/>
      <c r="E1607" s="94"/>
      <c r="F1607" s="94"/>
      <c r="G1607" s="94"/>
    </row>
    <row r="1608" spans="1:7" x14ac:dyDescent="0.25">
      <c r="A1608" s="89"/>
      <c r="B1608" s="191"/>
      <c r="E1608" s="94"/>
      <c r="F1608" s="94"/>
      <c r="G1608" s="94"/>
    </row>
    <row r="1609" spans="1:7" x14ac:dyDescent="0.25">
      <c r="A1609" s="89"/>
      <c r="B1609" s="191"/>
      <c r="E1609" s="94"/>
      <c r="F1609" s="94"/>
      <c r="G1609" s="94"/>
    </row>
    <row r="1610" spans="1:7" x14ac:dyDescent="0.25">
      <c r="A1610" s="89"/>
      <c r="B1610" s="191"/>
      <c r="E1610" s="94"/>
      <c r="F1610" s="94"/>
      <c r="G1610" s="94"/>
    </row>
    <row r="1611" spans="1:7" x14ac:dyDescent="0.25">
      <c r="A1611" s="89"/>
      <c r="B1611" s="191"/>
      <c r="E1611" s="94"/>
      <c r="F1611" s="94"/>
      <c r="G1611" s="94"/>
    </row>
    <row r="1612" spans="1:7" x14ac:dyDescent="0.25">
      <c r="A1612" s="89"/>
      <c r="B1612" s="191"/>
      <c r="E1612" s="94"/>
      <c r="F1612" s="94"/>
      <c r="G1612" s="94"/>
    </row>
    <row r="1613" spans="1:7" x14ac:dyDescent="0.25">
      <c r="A1613" s="89"/>
      <c r="B1613" s="191"/>
      <c r="E1613" s="94"/>
      <c r="F1613" s="94"/>
      <c r="G1613" s="94"/>
    </row>
    <row r="1614" spans="1:7" x14ac:dyDescent="0.25">
      <c r="A1614" s="89"/>
      <c r="B1614" s="191"/>
      <c r="E1614" s="94"/>
      <c r="F1614" s="94"/>
      <c r="G1614" s="94"/>
    </row>
    <row r="1615" spans="1:7" x14ac:dyDescent="0.25">
      <c r="A1615" s="89"/>
      <c r="B1615" s="191"/>
      <c r="E1615" s="94"/>
      <c r="F1615" s="94"/>
      <c r="G1615" s="94"/>
    </row>
    <row r="1616" spans="1:7" x14ac:dyDescent="0.25">
      <c r="A1616" s="89"/>
      <c r="B1616" s="191"/>
      <c r="E1616" s="94"/>
      <c r="F1616" s="94"/>
      <c r="G1616" s="94"/>
    </row>
    <row r="1617" spans="1:7" x14ac:dyDescent="0.25">
      <c r="A1617" s="89"/>
      <c r="B1617" s="191"/>
      <c r="E1617" s="94"/>
      <c r="F1617" s="94"/>
      <c r="G1617" s="94"/>
    </row>
    <row r="1618" spans="1:7" x14ac:dyDescent="0.25">
      <c r="A1618" s="89"/>
      <c r="B1618" s="191"/>
      <c r="E1618" s="94"/>
      <c r="F1618" s="94"/>
      <c r="G1618" s="94"/>
    </row>
    <row r="1619" spans="1:7" x14ac:dyDescent="0.25">
      <c r="A1619" s="89"/>
      <c r="B1619" s="191"/>
      <c r="E1619" s="94"/>
      <c r="F1619" s="94"/>
      <c r="G1619" s="94"/>
    </row>
    <row r="1620" spans="1:7" x14ac:dyDescent="0.25">
      <c r="A1620" s="89"/>
      <c r="B1620" s="191"/>
      <c r="E1620" s="94"/>
      <c r="F1620" s="94"/>
      <c r="G1620" s="94"/>
    </row>
    <row r="1621" spans="1:7" x14ac:dyDescent="0.25">
      <c r="A1621" s="89"/>
      <c r="B1621" s="191"/>
      <c r="E1621" s="94"/>
      <c r="F1621" s="94"/>
      <c r="G1621" s="94"/>
    </row>
    <row r="1622" spans="1:7" x14ac:dyDescent="0.25">
      <c r="A1622" s="89"/>
      <c r="B1622" s="191"/>
      <c r="E1622" s="94"/>
      <c r="F1622" s="94"/>
      <c r="G1622" s="94"/>
    </row>
    <row r="1623" spans="1:7" x14ac:dyDescent="0.25">
      <c r="A1623" s="89"/>
      <c r="B1623" s="191"/>
      <c r="E1623" s="94"/>
      <c r="F1623" s="94"/>
      <c r="G1623" s="94"/>
    </row>
    <row r="1624" spans="1:7" x14ac:dyDescent="0.25">
      <c r="A1624" s="89"/>
      <c r="B1624" s="191"/>
      <c r="E1624" s="94"/>
      <c r="F1624" s="94"/>
      <c r="G1624" s="94"/>
    </row>
    <row r="1625" spans="1:7" x14ac:dyDescent="0.25">
      <c r="A1625" s="89"/>
      <c r="B1625" s="191"/>
      <c r="E1625" s="94"/>
      <c r="F1625" s="94"/>
      <c r="G1625" s="94"/>
    </row>
    <row r="1626" spans="1:7" x14ac:dyDescent="0.25">
      <c r="A1626" s="89"/>
      <c r="B1626" s="191"/>
      <c r="E1626" s="94"/>
      <c r="F1626" s="94"/>
      <c r="G1626" s="94"/>
    </row>
    <row r="1627" spans="1:7" x14ac:dyDescent="0.25">
      <c r="A1627" s="89"/>
      <c r="B1627" s="191"/>
      <c r="E1627" s="94"/>
      <c r="F1627" s="94"/>
      <c r="G1627" s="94"/>
    </row>
    <row r="1628" spans="1:7" x14ac:dyDescent="0.25">
      <c r="A1628" s="89"/>
      <c r="B1628" s="191"/>
      <c r="E1628" s="94"/>
      <c r="F1628" s="94"/>
      <c r="G1628" s="94"/>
    </row>
    <row r="1629" spans="1:7" x14ac:dyDescent="0.25">
      <c r="A1629" s="89"/>
      <c r="B1629" s="191"/>
      <c r="E1629" s="94"/>
      <c r="F1629" s="94"/>
      <c r="G1629" s="94"/>
    </row>
    <row r="1630" spans="1:7" x14ac:dyDescent="0.25">
      <c r="A1630" s="89"/>
      <c r="B1630" s="191"/>
      <c r="E1630" s="94"/>
      <c r="F1630" s="94"/>
      <c r="G1630" s="94"/>
    </row>
    <row r="1631" spans="1:7" x14ac:dyDescent="0.25">
      <c r="A1631" s="89"/>
      <c r="B1631" s="191"/>
      <c r="E1631" s="94"/>
      <c r="F1631" s="94"/>
      <c r="G1631" s="94"/>
    </row>
    <row r="1632" spans="1:7" x14ac:dyDescent="0.25">
      <c r="A1632" s="89"/>
      <c r="B1632" s="191"/>
      <c r="E1632" s="94"/>
      <c r="F1632" s="94"/>
      <c r="G1632" s="94"/>
    </row>
    <row r="1633" spans="1:7" x14ac:dyDescent="0.25">
      <c r="A1633" s="89"/>
      <c r="B1633" s="191"/>
      <c r="E1633" s="94"/>
      <c r="F1633" s="94"/>
      <c r="G1633" s="94"/>
    </row>
    <row r="1634" spans="1:7" x14ac:dyDescent="0.25">
      <c r="A1634" s="89"/>
      <c r="B1634" s="191"/>
      <c r="E1634" s="94"/>
      <c r="F1634" s="94"/>
      <c r="G1634" s="94"/>
    </row>
    <row r="1635" spans="1:7" x14ac:dyDescent="0.25">
      <c r="A1635" s="89"/>
      <c r="B1635" s="191"/>
      <c r="E1635" s="94"/>
      <c r="F1635" s="94"/>
      <c r="G1635" s="94"/>
    </row>
    <row r="1636" spans="1:7" x14ac:dyDescent="0.25">
      <c r="A1636" s="89"/>
      <c r="B1636" s="191"/>
      <c r="E1636" s="94"/>
      <c r="F1636" s="94"/>
      <c r="G1636" s="94"/>
    </row>
    <row r="1637" spans="1:7" x14ac:dyDescent="0.25">
      <c r="A1637" s="89"/>
      <c r="B1637" s="191"/>
      <c r="E1637" s="94"/>
      <c r="F1637" s="94"/>
      <c r="G1637" s="94"/>
    </row>
    <row r="1638" spans="1:7" x14ac:dyDescent="0.25">
      <c r="A1638" s="89"/>
      <c r="B1638" s="191"/>
      <c r="E1638" s="94"/>
      <c r="F1638" s="94"/>
      <c r="G1638" s="94"/>
    </row>
    <row r="1639" spans="1:7" x14ac:dyDescent="0.25">
      <c r="A1639" s="89"/>
      <c r="B1639" s="191"/>
      <c r="E1639" s="94"/>
      <c r="F1639" s="94"/>
      <c r="G1639" s="94"/>
    </row>
    <row r="1640" spans="1:7" x14ac:dyDescent="0.25">
      <c r="A1640" s="89"/>
      <c r="B1640" s="191"/>
      <c r="E1640" s="94"/>
      <c r="F1640" s="94"/>
      <c r="G1640" s="94"/>
    </row>
    <row r="1641" spans="1:7" x14ac:dyDescent="0.25">
      <c r="A1641" s="89"/>
      <c r="B1641" s="191"/>
      <c r="E1641" s="94"/>
      <c r="F1641" s="94"/>
      <c r="G1641" s="94"/>
    </row>
    <row r="1642" spans="1:7" x14ac:dyDescent="0.25">
      <c r="A1642" s="89"/>
      <c r="B1642" s="191"/>
      <c r="E1642" s="94"/>
      <c r="F1642" s="94"/>
      <c r="G1642" s="94"/>
    </row>
    <row r="1643" spans="1:7" x14ac:dyDescent="0.25">
      <c r="A1643" s="89"/>
      <c r="B1643" s="191"/>
      <c r="E1643" s="94"/>
      <c r="F1643" s="94"/>
      <c r="G1643" s="94"/>
    </row>
    <row r="1644" spans="1:7" x14ac:dyDescent="0.25">
      <c r="A1644" s="89"/>
      <c r="B1644" s="191"/>
      <c r="E1644" s="94"/>
      <c r="F1644" s="94"/>
      <c r="G1644" s="94"/>
    </row>
    <row r="1645" spans="1:7" x14ac:dyDescent="0.25">
      <c r="A1645" s="89"/>
      <c r="B1645" s="191"/>
      <c r="E1645" s="94"/>
      <c r="F1645" s="94"/>
      <c r="G1645" s="94"/>
    </row>
    <row r="1646" spans="1:7" x14ac:dyDescent="0.25">
      <c r="A1646" s="89"/>
      <c r="B1646" s="191"/>
      <c r="E1646" s="94"/>
      <c r="F1646" s="94"/>
      <c r="G1646" s="94"/>
    </row>
    <row r="1647" spans="1:7" x14ac:dyDescent="0.25">
      <c r="A1647" s="89"/>
      <c r="B1647" s="191"/>
      <c r="E1647" s="94"/>
      <c r="F1647" s="94"/>
      <c r="G1647" s="94"/>
    </row>
    <row r="1648" spans="1:7" x14ac:dyDescent="0.25">
      <c r="A1648" s="89"/>
      <c r="B1648" s="191"/>
      <c r="E1648" s="94"/>
      <c r="F1648" s="94"/>
      <c r="G1648" s="94"/>
    </row>
    <row r="1649" spans="1:7" x14ac:dyDescent="0.25">
      <c r="A1649" s="89"/>
      <c r="B1649" s="191"/>
      <c r="E1649" s="94"/>
      <c r="F1649" s="94"/>
      <c r="G1649" s="94"/>
    </row>
    <row r="1650" spans="1:7" x14ac:dyDescent="0.25">
      <c r="A1650" s="89"/>
      <c r="B1650" s="191"/>
      <c r="E1650" s="94"/>
      <c r="F1650" s="94"/>
      <c r="G1650" s="94"/>
    </row>
    <row r="1651" spans="1:7" x14ac:dyDescent="0.25">
      <c r="A1651" s="89"/>
      <c r="B1651" s="191"/>
      <c r="E1651" s="94"/>
      <c r="F1651" s="94"/>
      <c r="G1651" s="94"/>
    </row>
    <row r="1652" spans="1:7" x14ac:dyDescent="0.25">
      <c r="A1652" s="89"/>
      <c r="B1652" s="191"/>
      <c r="E1652" s="94"/>
      <c r="F1652" s="94"/>
      <c r="G1652" s="94"/>
    </row>
    <row r="1653" spans="1:7" x14ac:dyDescent="0.25">
      <c r="A1653" s="89"/>
      <c r="B1653" s="191"/>
      <c r="E1653" s="94"/>
      <c r="F1653" s="94"/>
      <c r="G1653" s="94"/>
    </row>
    <row r="1654" spans="1:7" x14ac:dyDescent="0.25">
      <c r="A1654" s="89"/>
      <c r="B1654" s="191"/>
      <c r="E1654" s="94"/>
      <c r="F1654" s="94"/>
      <c r="G1654" s="94"/>
    </row>
    <row r="1655" spans="1:7" x14ac:dyDescent="0.25">
      <c r="A1655" s="89"/>
      <c r="B1655" s="191"/>
      <c r="E1655" s="94"/>
      <c r="F1655" s="94"/>
      <c r="G1655" s="94"/>
    </row>
    <row r="1656" spans="1:7" x14ac:dyDescent="0.25">
      <c r="A1656" s="89"/>
      <c r="B1656" s="191"/>
      <c r="E1656" s="94"/>
      <c r="F1656" s="94"/>
      <c r="G1656" s="94"/>
    </row>
    <row r="1657" spans="1:7" x14ac:dyDescent="0.25">
      <c r="A1657" s="89"/>
      <c r="B1657" s="191"/>
      <c r="E1657" s="94"/>
      <c r="F1657" s="94"/>
      <c r="G1657" s="94"/>
    </row>
    <row r="1658" spans="1:7" x14ac:dyDescent="0.25">
      <c r="A1658" s="89"/>
      <c r="B1658" s="191"/>
      <c r="E1658" s="94"/>
      <c r="F1658" s="94"/>
      <c r="G1658" s="94"/>
    </row>
    <row r="1659" spans="1:7" x14ac:dyDescent="0.25">
      <c r="A1659" s="89"/>
      <c r="B1659" s="191"/>
      <c r="E1659" s="94"/>
      <c r="F1659" s="94"/>
      <c r="G1659" s="94"/>
    </row>
    <row r="1660" spans="1:7" x14ac:dyDescent="0.25">
      <c r="A1660" s="89"/>
      <c r="B1660" s="191"/>
      <c r="E1660" s="94"/>
      <c r="F1660" s="94"/>
      <c r="G1660" s="94"/>
    </row>
    <row r="1661" spans="1:7" x14ac:dyDescent="0.25">
      <c r="A1661" s="89"/>
      <c r="B1661" s="191"/>
      <c r="E1661" s="94"/>
      <c r="F1661" s="94"/>
      <c r="G1661" s="94"/>
    </row>
    <row r="1662" spans="1:7" x14ac:dyDescent="0.25">
      <c r="A1662" s="89"/>
      <c r="B1662" s="191"/>
      <c r="E1662" s="94"/>
      <c r="F1662" s="94"/>
      <c r="G1662" s="94"/>
    </row>
    <row r="1663" spans="1:7" x14ac:dyDescent="0.25">
      <c r="A1663" s="89"/>
      <c r="B1663" s="191"/>
      <c r="E1663" s="94"/>
      <c r="F1663" s="94"/>
      <c r="G1663" s="94"/>
    </row>
    <row r="1664" spans="1:7" x14ac:dyDescent="0.25">
      <c r="A1664" s="89"/>
      <c r="B1664" s="191"/>
      <c r="E1664" s="94"/>
      <c r="F1664" s="94"/>
      <c r="G1664" s="94"/>
    </row>
    <row r="1665" spans="1:7" x14ac:dyDescent="0.25">
      <c r="A1665" s="89"/>
      <c r="B1665" s="191"/>
      <c r="E1665" s="94"/>
      <c r="F1665" s="94"/>
      <c r="G1665" s="94"/>
    </row>
    <row r="1666" spans="1:7" x14ac:dyDescent="0.25">
      <c r="A1666" s="89"/>
      <c r="B1666" s="191"/>
      <c r="E1666" s="94"/>
      <c r="F1666" s="94"/>
      <c r="G1666" s="94"/>
    </row>
    <row r="1667" spans="1:7" x14ac:dyDescent="0.25">
      <c r="A1667" s="89"/>
      <c r="B1667" s="191"/>
      <c r="E1667" s="94"/>
      <c r="F1667" s="94"/>
      <c r="G1667" s="94"/>
    </row>
    <row r="1668" spans="1:7" x14ac:dyDescent="0.25">
      <c r="A1668" s="89"/>
      <c r="B1668" s="191"/>
      <c r="E1668" s="94"/>
      <c r="F1668" s="94"/>
      <c r="G1668" s="94"/>
    </row>
    <row r="1669" spans="1:7" x14ac:dyDescent="0.25">
      <c r="A1669" s="89"/>
      <c r="B1669" s="191"/>
      <c r="E1669" s="94"/>
      <c r="F1669" s="94"/>
      <c r="G1669" s="94"/>
    </row>
    <row r="1670" spans="1:7" x14ac:dyDescent="0.25">
      <c r="A1670" s="89"/>
      <c r="B1670" s="191"/>
      <c r="E1670" s="94"/>
      <c r="F1670" s="94"/>
      <c r="G1670" s="94"/>
    </row>
    <row r="1671" spans="1:7" x14ac:dyDescent="0.25">
      <c r="A1671" s="89"/>
      <c r="B1671" s="191"/>
      <c r="E1671" s="94"/>
      <c r="F1671" s="94"/>
      <c r="G1671" s="94"/>
    </row>
    <row r="1672" spans="1:7" x14ac:dyDescent="0.25">
      <c r="A1672" s="89"/>
      <c r="B1672" s="191"/>
      <c r="E1672" s="94"/>
      <c r="F1672" s="94"/>
      <c r="G1672" s="94"/>
    </row>
    <row r="1673" spans="1:7" x14ac:dyDescent="0.25">
      <c r="A1673" s="89"/>
      <c r="B1673" s="191"/>
      <c r="E1673" s="94"/>
      <c r="F1673" s="94"/>
      <c r="G1673" s="94"/>
    </row>
    <row r="1674" spans="1:7" x14ac:dyDescent="0.25">
      <c r="A1674" s="89"/>
      <c r="B1674" s="191"/>
      <c r="E1674" s="94"/>
      <c r="F1674" s="94"/>
      <c r="G1674" s="94"/>
    </row>
    <row r="1675" spans="1:7" x14ac:dyDescent="0.25">
      <c r="A1675" s="89"/>
      <c r="B1675" s="191"/>
      <c r="E1675" s="94"/>
      <c r="F1675" s="94"/>
      <c r="G1675" s="94"/>
    </row>
    <row r="1676" spans="1:7" x14ac:dyDescent="0.25">
      <c r="A1676" s="89"/>
      <c r="B1676" s="191"/>
      <c r="E1676" s="94"/>
      <c r="F1676" s="94"/>
      <c r="G1676" s="94"/>
    </row>
    <row r="1677" spans="1:7" x14ac:dyDescent="0.25">
      <c r="A1677" s="89"/>
      <c r="B1677" s="191"/>
      <c r="E1677" s="94"/>
      <c r="F1677" s="94"/>
      <c r="G1677" s="94"/>
    </row>
    <row r="1678" spans="1:7" x14ac:dyDescent="0.25">
      <c r="A1678" s="89"/>
      <c r="B1678" s="191"/>
      <c r="E1678" s="94"/>
      <c r="F1678" s="94"/>
      <c r="G1678" s="94"/>
    </row>
    <row r="1679" spans="1:7" x14ac:dyDescent="0.25">
      <c r="A1679" s="89"/>
      <c r="B1679" s="191"/>
      <c r="E1679" s="94"/>
      <c r="F1679" s="94"/>
      <c r="G1679" s="94"/>
    </row>
    <row r="1680" spans="1:7" x14ac:dyDescent="0.25">
      <c r="A1680" s="89"/>
      <c r="B1680" s="191"/>
      <c r="E1680" s="94"/>
      <c r="F1680" s="94"/>
      <c r="G1680" s="94"/>
    </row>
    <row r="1681" spans="1:7" x14ac:dyDescent="0.25">
      <c r="A1681" s="89"/>
      <c r="B1681" s="191"/>
      <c r="E1681" s="94"/>
      <c r="F1681" s="94"/>
      <c r="G1681" s="94"/>
    </row>
    <row r="1682" spans="1:7" x14ac:dyDescent="0.25">
      <c r="A1682" s="89"/>
      <c r="B1682" s="191"/>
      <c r="E1682" s="94"/>
      <c r="F1682" s="94"/>
      <c r="G1682" s="94"/>
    </row>
    <row r="1683" spans="1:7" x14ac:dyDescent="0.25">
      <c r="A1683" s="89"/>
      <c r="B1683" s="191"/>
      <c r="E1683" s="94"/>
      <c r="F1683" s="94"/>
      <c r="G1683" s="94"/>
    </row>
    <row r="1684" spans="1:7" x14ac:dyDescent="0.25">
      <c r="A1684" s="89"/>
      <c r="B1684" s="191"/>
      <c r="E1684" s="94"/>
      <c r="F1684" s="94"/>
      <c r="G1684" s="94"/>
    </row>
    <row r="1685" spans="1:7" x14ac:dyDescent="0.25">
      <c r="A1685" s="89"/>
      <c r="B1685" s="191"/>
      <c r="E1685" s="94"/>
      <c r="F1685" s="94"/>
      <c r="G1685" s="94"/>
    </row>
    <row r="1686" spans="1:7" x14ac:dyDescent="0.25">
      <c r="A1686" s="89"/>
      <c r="B1686" s="191"/>
      <c r="E1686" s="94"/>
      <c r="F1686" s="94"/>
      <c r="G1686" s="94"/>
    </row>
    <row r="1687" spans="1:7" x14ac:dyDescent="0.25">
      <c r="A1687" s="89"/>
      <c r="B1687" s="191"/>
      <c r="E1687" s="94"/>
      <c r="F1687" s="94"/>
      <c r="G1687" s="94"/>
    </row>
    <row r="1688" spans="1:7" x14ac:dyDescent="0.25">
      <c r="A1688" s="89"/>
      <c r="B1688" s="191"/>
      <c r="E1688" s="94"/>
      <c r="F1688" s="94"/>
      <c r="G1688" s="94"/>
    </row>
    <row r="1689" spans="1:7" x14ac:dyDescent="0.25">
      <c r="A1689" s="89"/>
      <c r="B1689" s="191"/>
      <c r="E1689" s="94"/>
      <c r="F1689" s="94"/>
      <c r="G1689" s="94"/>
    </row>
    <row r="1690" spans="1:7" x14ac:dyDescent="0.25">
      <c r="A1690" s="89"/>
      <c r="B1690" s="191"/>
      <c r="E1690" s="94"/>
      <c r="F1690" s="94"/>
      <c r="G1690" s="94"/>
    </row>
    <row r="1691" spans="1:7" x14ac:dyDescent="0.25">
      <c r="A1691" s="89"/>
      <c r="B1691" s="191"/>
      <c r="E1691" s="94"/>
      <c r="F1691" s="94"/>
      <c r="G1691" s="94"/>
    </row>
    <row r="1692" spans="1:7" x14ac:dyDescent="0.25">
      <c r="A1692" s="89"/>
      <c r="B1692" s="191"/>
      <c r="E1692" s="94"/>
      <c r="F1692" s="94"/>
      <c r="G1692" s="94"/>
    </row>
    <row r="1693" spans="1:7" x14ac:dyDescent="0.25">
      <c r="A1693" s="89"/>
      <c r="B1693" s="191"/>
      <c r="E1693" s="94"/>
      <c r="F1693" s="94"/>
      <c r="G1693" s="94"/>
    </row>
    <row r="1694" spans="1:7" x14ac:dyDescent="0.25">
      <c r="A1694" s="89"/>
      <c r="B1694" s="191"/>
      <c r="E1694" s="94"/>
      <c r="F1694" s="94"/>
      <c r="G1694" s="94"/>
    </row>
    <row r="1695" spans="1:7" x14ac:dyDescent="0.25">
      <c r="A1695" s="89"/>
      <c r="B1695" s="191"/>
      <c r="E1695" s="94"/>
      <c r="F1695" s="94"/>
      <c r="G1695" s="94"/>
    </row>
    <row r="1696" spans="1:7" x14ac:dyDescent="0.25">
      <c r="A1696" s="89"/>
      <c r="B1696" s="191"/>
      <c r="E1696" s="94"/>
      <c r="F1696" s="94"/>
      <c r="G1696" s="94"/>
    </row>
    <row r="1697" spans="1:7" x14ac:dyDescent="0.25">
      <c r="A1697" s="89"/>
      <c r="B1697" s="191"/>
      <c r="E1697" s="94"/>
      <c r="F1697" s="94"/>
      <c r="G1697" s="94"/>
    </row>
    <row r="1698" spans="1:7" x14ac:dyDescent="0.25">
      <c r="A1698" s="89"/>
      <c r="B1698" s="191"/>
      <c r="E1698" s="94"/>
      <c r="F1698" s="94"/>
      <c r="G1698" s="94"/>
    </row>
    <row r="1699" spans="1:7" x14ac:dyDescent="0.25">
      <c r="A1699" s="89"/>
      <c r="B1699" s="191"/>
      <c r="E1699" s="94"/>
      <c r="F1699" s="94"/>
      <c r="G1699" s="94"/>
    </row>
    <row r="1700" spans="1:7" x14ac:dyDescent="0.25">
      <c r="A1700" s="89"/>
      <c r="B1700" s="191"/>
      <c r="E1700" s="94"/>
      <c r="F1700" s="94"/>
      <c r="G1700" s="94"/>
    </row>
    <row r="1701" spans="1:7" x14ac:dyDescent="0.25">
      <c r="A1701" s="89"/>
      <c r="B1701" s="191"/>
      <c r="E1701" s="94"/>
      <c r="F1701" s="94"/>
      <c r="G1701" s="94"/>
    </row>
    <row r="1702" spans="1:7" x14ac:dyDescent="0.25">
      <c r="A1702" s="89"/>
      <c r="B1702" s="191"/>
      <c r="E1702" s="94"/>
      <c r="F1702" s="94"/>
      <c r="G1702" s="94"/>
    </row>
    <row r="1703" spans="1:7" x14ac:dyDescent="0.25">
      <c r="A1703" s="89"/>
      <c r="B1703" s="191"/>
      <c r="E1703" s="94"/>
      <c r="F1703" s="94"/>
      <c r="G1703" s="94"/>
    </row>
    <row r="1704" spans="1:7" x14ac:dyDescent="0.25">
      <c r="A1704" s="89"/>
      <c r="B1704" s="191"/>
      <c r="E1704" s="94"/>
      <c r="F1704" s="94"/>
      <c r="G1704" s="94"/>
    </row>
    <row r="1705" spans="1:7" x14ac:dyDescent="0.25">
      <c r="A1705" s="89"/>
      <c r="B1705" s="191"/>
      <c r="E1705" s="94"/>
      <c r="F1705" s="94"/>
      <c r="G1705" s="94"/>
    </row>
    <row r="1706" spans="1:7" x14ac:dyDescent="0.25">
      <c r="A1706" s="89"/>
      <c r="B1706" s="191"/>
      <c r="E1706" s="94"/>
      <c r="F1706" s="94"/>
      <c r="G1706" s="94"/>
    </row>
    <row r="1707" spans="1:7" x14ac:dyDescent="0.25">
      <c r="A1707" s="89"/>
      <c r="B1707" s="191"/>
      <c r="E1707" s="94"/>
      <c r="F1707" s="94"/>
      <c r="G1707" s="94"/>
    </row>
    <row r="1708" spans="1:7" x14ac:dyDescent="0.25">
      <c r="A1708" s="89"/>
      <c r="B1708" s="191"/>
      <c r="E1708" s="94"/>
      <c r="F1708" s="94"/>
      <c r="G1708" s="94"/>
    </row>
    <row r="1709" spans="1:7" x14ac:dyDescent="0.25">
      <c r="A1709" s="89"/>
      <c r="B1709" s="191"/>
      <c r="E1709" s="94"/>
      <c r="F1709" s="94"/>
      <c r="G1709" s="94"/>
    </row>
    <row r="1710" spans="1:7" x14ac:dyDescent="0.25">
      <c r="A1710" s="89"/>
      <c r="B1710" s="191"/>
      <c r="E1710" s="94"/>
      <c r="F1710" s="94"/>
      <c r="G1710" s="94"/>
    </row>
    <row r="1711" spans="1:7" x14ac:dyDescent="0.25">
      <c r="A1711" s="89"/>
      <c r="B1711" s="191"/>
      <c r="E1711" s="94"/>
      <c r="F1711" s="94"/>
      <c r="G1711" s="94"/>
    </row>
    <row r="1712" spans="1:7" x14ac:dyDescent="0.25">
      <c r="A1712" s="89"/>
      <c r="B1712" s="191"/>
      <c r="E1712" s="94"/>
      <c r="F1712" s="94"/>
      <c r="G1712" s="94"/>
    </row>
    <row r="1713" spans="1:7" x14ac:dyDescent="0.25">
      <c r="A1713" s="89"/>
      <c r="B1713" s="191"/>
      <c r="E1713" s="94"/>
      <c r="F1713" s="94"/>
      <c r="G1713" s="94"/>
    </row>
    <row r="1714" spans="1:7" x14ac:dyDescent="0.25">
      <c r="A1714" s="89"/>
      <c r="B1714" s="191"/>
      <c r="E1714" s="94"/>
      <c r="F1714" s="94"/>
      <c r="G1714" s="94"/>
    </row>
    <row r="1715" spans="1:7" x14ac:dyDescent="0.25">
      <c r="A1715" s="89"/>
      <c r="B1715" s="191"/>
      <c r="E1715" s="94"/>
      <c r="F1715" s="94"/>
      <c r="G1715" s="94"/>
    </row>
    <row r="1716" spans="1:7" x14ac:dyDescent="0.25">
      <c r="A1716" s="89"/>
      <c r="B1716" s="191"/>
      <c r="E1716" s="94"/>
      <c r="F1716" s="94"/>
      <c r="G1716" s="94"/>
    </row>
    <row r="1717" spans="1:7" x14ac:dyDescent="0.25">
      <c r="A1717" s="89"/>
      <c r="B1717" s="191"/>
      <c r="E1717" s="94"/>
      <c r="F1717" s="94"/>
      <c r="G1717" s="94"/>
    </row>
    <row r="1718" spans="1:7" x14ac:dyDescent="0.25">
      <c r="A1718" s="89"/>
      <c r="B1718" s="191"/>
      <c r="E1718" s="94"/>
      <c r="F1718" s="94"/>
      <c r="G1718" s="94"/>
    </row>
    <row r="1719" spans="1:7" x14ac:dyDescent="0.25">
      <c r="A1719" s="89"/>
      <c r="B1719" s="191"/>
      <c r="E1719" s="94"/>
      <c r="F1719" s="94"/>
      <c r="G1719" s="94"/>
    </row>
    <row r="1720" spans="1:7" x14ac:dyDescent="0.25">
      <c r="A1720" s="89"/>
      <c r="B1720" s="191"/>
      <c r="E1720" s="94"/>
      <c r="F1720" s="94"/>
      <c r="G1720" s="94"/>
    </row>
    <row r="1721" spans="1:7" x14ac:dyDescent="0.25">
      <c r="A1721" s="89"/>
      <c r="B1721" s="191"/>
      <c r="E1721" s="94"/>
      <c r="F1721" s="94"/>
      <c r="G1721" s="94"/>
    </row>
    <row r="1722" spans="1:7" x14ac:dyDescent="0.25">
      <c r="A1722" s="89"/>
      <c r="B1722" s="191"/>
      <c r="E1722" s="94"/>
      <c r="F1722" s="94"/>
      <c r="G1722" s="94"/>
    </row>
    <row r="1723" spans="1:7" x14ac:dyDescent="0.25">
      <c r="A1723" s="89"/>
      <c r="B1723" s="191"/>
      <c r="E1723" s="94"/>
      <c r="F1723" s="94"/>
      <c r="G1723" s="94"/>
    </row>
    <row r="1724" spans="1:7" x14ac:dyDescent="0.25">
      <c r="A1724" s="89"/>
      <c r="B1724" s="191"/>
      <c r="E1724" s="94"/>
      <c r="F1724" s="94"/>
      <c r="G1724" s="94"/>
    </row>
    <row r="1725" spans="1:7" x14ac:dyDescent="0.25">
      <c r="A1725" s="89"/>
      <c r="B1725" s="191"/>
      <c r="E1725" s="94"/>
      <c r="F1725" s="94"/>
      <c r="G1725" s="94"/>
    </row>
    <row r="1726" spans="1:7" x14ac:dyDescent="0.25">
      <c r="A1726" s="89"/>
      <c r="B1726" s="191"/>
      <c r="E1726" s="94"/>
      <c r="F1726" s="94"/>
      <c r="G1726" s="94"/>
    </row>
    <row r="1727" spans="1:7" x14ac:dyDescent="0.25">
      <c r="A1727" s="89"/>
      <c r="B1727" s="191"/>
      <c r="E1727" s="94"/>
      <c r="F1727" s="94"/>
      <c r="G1727" s="94"/>
    </row>
    <row r="1728" spans="1:7" x14ac:dyDescent="0.25">
      <c r="A1728" s="89"/>
      <c r="B1728" s="191"/>
      <c r="E1728" s="94"/>
      <c r="F1728" s="94"/>
      <c r="G1728" s="94"/>
    </row>
    <row r="1729" spans="1:7" x14ac:dyDescent="0.25">
      <c r="A1729" s="89"/>
      <c r="B1729" s="191"/>
      <c r="E1729" s="94"/>
      <c r="F1729" s="94"/>
      <c r="G1729" s="94"/>
    </row>
    <row r="1730" spans="1:7" x14ac:dyDescent="0.25">
      <c r="A1730" s="89"/>
      <c r="B1730" s="191"/>
      <c r="E1730" s="94"/>
      <c r="F1730" s="94"/>
      <c r="G1730" s="94"/>
    </row>
    <row r="1731" spans="1:7" x14ac:dyDescent="0.25">
      <c r="A1731" s="89"/>
      <c r="B1731" s="191"/>
      <c r="E1731" s="94"/>
      <c r="F1731" s="94"/>
      <c r="G1731" s="94"/>
    </row>
    <row r="1732" spans="1:7" x14ac:dyDescent="0.25">
      <c r="A1732" s="89"/>
      <c r="B1732" s="191"/>
      <c r="E1732" s="94"/>
      <c r="F1732" s="94"/>
      <c r="G1732" s="94"/>
    </row>
    <row r="1733" spans="1:7" x14ac:dyDescent="0.25">
      <c r="A1733" s="89"/>
      <c r="B1733" s="191"/>
      <c r="E1733" s="94"/>
      <c r="F1733" s="94"/>
      <c r="G1733" s="94"/>
    </row>
    <row r="1734" spans="1:7" x14ac:dyDescent="0.25">
      <c r="A1734" s="89"/>
      <c r="B1734" s="191"/>
      <c r="E1734" s="94"/>
      <c r="F1734" s="94"/>
      <c r="G1734" s="94"/>
    </row>
    <row r="1735" spans="1:7" x14ac:dyDescent="0.25">
      <c r="A1735" s="89"/>
      <c r="B1735" s="191"/>
      <c r="E1735" s="94"/>
      <c r="F1735" s="94"/>
      <c r="G1735" s="94"/>
    </row>
    <row r="1736" spans="1:7" x14ac:dyDescent="0.25">
      <c r="A1736" s="89"/>
      <c r="B1736" s="191"/>
      <c r="E1736" s="94"/>
      <c r="F1736" s="94"/>
      <c r="G1736" s="94"/>
    </row>
    <row r="1737" spans="1:7" x14ac:dyDescent="0.25">
      <c r="A1737" s="89"/>
      <c r="B1737" s="191"/>
      <c r="E1737" s="94"/>
      <c r="F1737" s="94"/>
      <c r="G1737" s="94"/>
    </row>
    <row r="1738" spans="1:7" x14ac:dyDescent="0.25">
      <c r="A1738" s="89"/>
      <c r="B1738" s="191"/>
      <c r="E1738" s="94"/>
      <c r="F1738" s="94"/>
      <c r="G1738" s="94"/>
    </row>
    <row r="1739" spans="1:7" x14ac:dyDescent="0.25">
      <c r="A1739" s="89"/>
      <c r="B1739" s="191"/>
      <c r="E1739" s="94"/>
      <c r="F1739" s="94"/>
      <c r="G1739" s="94"/>
    </row>
    <row r="1740" spans="1:7" x14ac:dyDescent="0.25">
      <c r="A1740" s="89"/>
      <c r="B1740" s="191"/>
      <c r="E1740" s="94"/>
      <c r="F1740" s="94"/>
      <c r="G1740" s="94"/>
    </row>
    <row r="1741" spans="1:7" x14ac:dyDescent="0.25">
      <c r="A1741" s="89"/>
      <c r="B1741" s="191"/>
      <c r="E1741" s="94"/>
      <c r="F1741" s="94"/>
      <c r="G1741" s="94"/>
    </row>
    <row r="1742" spans="1:7" x14ac:dyDescent="0.25">
      <c r="A1742" s="89"/>
      <c r="B1742" s="191"/>
      <c r="E1742" s="94"/>
      <c r="F1742" s="94"/>
      <c r="G1742" s="94"/>
    </row>
    <row r="1743" spans="1:7" x14ac:dyDescent="0.25">
      <c r="A1743" s="89"/>
      <c r="B1743" s="191"/>
      <c r="E1743" s="94"/>
      <c r="F1743" s="94"/>
      <c r="G1743" s="94"/>
    </row>
    <row r="1744" spans="1:7" x14ac:dyDescent="0.25">
      <c r="A1744" s="89"/>
      <c r="B1744" s="191"/>
      <c r="E1744" s="94"/>
      <c r="F1744" s="94"/>
      <c r="G1744" s="94"/>
    </row>
    <row r="1745" spans="1:7" x14ac:dyDescent="0.25">
      <c r="A1745" s="89"/>
      <c r="B1745" s="191"/>
      <c r="E1745" s="94"/>
      <c r="F1745" s="94"/>
      <c r="G1745" s="94"/>
    </row>
    <row r="1746" spans="1:7" x14ac:dyDescent="0.25">
      <c r="A1746" s="89"/>
      <c r="B1746" s="191"/>
      <c r="E1746" s="94"/>
      <c r="F1746" s="94"/>
      <c r="G1746" s="94"/>
    </row>
    <row r="1747" spans="1:7" x14ac:dyDescent="0.25">
      <c r="A1747" s="89"/>
      <c r="B1747" s="191"/>
      <c r="E1747" s="94"/>
      <c r="F1747" s="94"/>
      <c r="G1747" s="94"/>
    </row>
    <row r="1748" spans="1:7" x14ac:dyDescent="0.25">
      <c r="A1748" s="89"/>
      <c r="B1748" s="191"/>
      <c r="E1748" s="94"/>
      <c r="F1748" s="94"/>
      <c r="G1748" s="94"/>
    </row>
    <row r="1749" spans="1:7" x14ac:dyDescent="0.25">
      <c r="A1749" s="89"/>
      <c r="B1749" s="191"/>
      <c r="E1749" s="94"/>
      <c r="F1749" s="94"/>
      <c r="G1749" s="94"/>
    </row>
    <row r="1750" spans="1:7" x14ac:dyDescent="0.25">
      <c r="A1750" s="89"/>
      <c r="B1750" s="191"/>
      <c r="E1750" s="94"/>
      <c r="F1750" s="94"/>
      <c r="G1750" s="94"/>
    </row>
    <row r="1751" spans="1:7" x14ac:dyDescent="0.25">
      <c r="A1751" s="89"/>
      <c r="B1751" s="191"/>
      <c r="E1751" s="94"/>
      <c r="F1751" s="94"/>
      <c r="G1751" s="94"/>
    </row>
    <row r="1752" spans="1:7" x14ac:dyDescent="0.25">
      <c r="A1752" s="89"/>
      <c r="B1752" s="191"/>
      <c r="E1752" s="94"/>
      <c r="F1752" s="94"/>
      <c r="G1752" s="94"/>
    </row>
    <row r="1753" spans="1:7" x14ac:dyDescent="0.25">
      <c r="A1753" s="89"/>
      <c r="B1753" s="191"/>
      <c r="E1753" s="94"/>
      <c r="F1753" s="94"/>
      <c r="G1753" s="94"/>
    </row>
    <row r="1754" spans="1:7" x14ac:dyDescent="0.25">
      <c r="A1754" s="89"/>
      <c r="B1754" s="191"/>
      <c r="E1754" s="94"/>
      <c r="F1754" s="94"/>
      <c r="G1754" s="94"/>
    </row>
    <row r="1755" spans="1:7" x14ac:dyDescent="0.25">
      <c r="A1755" s="89"/>
      <c r="B1755" s="191"/>
      <c r="E1755" s="94"/>
      <c r="F1755" s="94"/>
      <c r="G1755" s="94"/>
    </row>
    <row r="1756" spans="1:7" x14ac:dyDescent="0.25">
      <c r="A1756" s="89"/>
      <c r="B1756" s="191"/>
      <c r="E1756" s="94"/>
      <c r="F1756" s="94"/>
      <c r="G1756" s="94"/>
    </row>
    <row r="1757" spans="1:7" x14ac:dyDescent="0.25">
      <c r="A1757" s="89"/>
      <c r="B1757" s="191"/>
      <c r="E1757" s="94"/>
      <c r="F1757" s="94"/>
      <c r="G1757" s="94"/>
    </row>
    <row r="1758" spans="1:7" x14ac:dyDescent="0.25">
      <c r="A1758" s="89"/>
      <c r="B1758" s="191"/>
      <c r="E1758" s="94"/>
      <c r="F1758" s="94"/>
      <c r="G1758" s="94"/>
    </row>
    <row r="1759" spans="1:7" x14ac:dyDescent="0.25">
      <c r="A1759" s="89"/>
      <c r="B1759" s="191"/>
      <c r="E1759" s="94"/>
      <c r="F1759" s="94"/>
      <c r="G1759" s="94"/>
    </row>
    <row r="1760" spans="1:7" x14ac:dyDescent="0.25">
      <c r="A1760" s="89"/>
      <c r="B1760" s="191"/>
      <c r="E1760" s="94"/>
      <c r="F1760" s="94"/>
      <c r="G1760" s="94"/>
    </row>
    <row r="1761" spans="1:7" x14ac:dyDescent="0.25">
      <c r="A1761" s="89"/>
      <c r="B1761" s="191"/>
      <c r="E1761" s="94"/>
      <c r="F1761" s="94"/>
      <c r="G1761" s="94"/>
    </row>
    <row r="1762" spans="1:7" x14ac:dyDescent="0.25">
      <c r="A1762" s="89"/>
      <c r="B1762" s="191"/>
      <c r="E1762" s="94"/>
      <c r="F1762" s="94"/>
      <c r="G1762" s="94"/>
    </row>
    <row r="1763" spans="1:7" x14ac:dyDescent="0.25">
      <c r="A1763" s="89"/>
      <c r="B1763" s="191"/>
      <c r="E1763" s="94"/>
      <c r="F1763" s="94"/>
      <c r="G1763" s="94"/>
    </row>
    <row r="1764" spans="1:7" x14ac:dyDescent="0.25">
      <c r="A1764" s="89"/>
      <c r="B1764" s="191"/>
      <c r="E1764" s="94"/>
      <c r="F1764" s="94"/>
      <c r="G1764" s="94"/>
    </row>
    <row r="1765" spans="1:7" x14ac:dyDescent="0.25">
      <c r="A1765" s="89"/>
      <c r="B1765" s="191"/>
      <c r="E1765" s="94"/>
      <c r="F1765" s="94"/>
      <c r="G1765" s="94"/>
    </row>
    <row r="1766" spans="1:7" x14ac:dyDescent="0.25">
      <c r="A1766" s="89"/>
      <c r="B1766" s="191"/>
      <c r="E1766" s="94"/>
      <c r="F1766" s="94"/>
      <c r="G1766" s="94"/>
    </row>
    <row r="1767" spans="1:7" x14ac:dyDescent="0.25">
      <c r="A1767" s="89"/>
      <c r="B1767" s="191"/>
      <c r="E1767" s="94"/>
      <c r="F1767" s="94"/>
      <c r="G1767" s="94"/>
    </row>
    <row r="1768" spans="1:7" x14ac:dyDescent="0.25">
      <c r="A1768" s="89"/>
      <c r="B1768" s="191"/>
      <c r="E1768" s="94"/>
      <c r="F1768" s="94"/>
      <c r="G1768" s="94"/>
    </row>
    <row r="1769" spans="1:7" x14ac:dyDescent="0.25">
      <c r="A1769" s="89"/>
      <c r="B1769" s="191"/>
      <c r="E1769" s="94"/>
      <c r="F1769" s="94"/>
      <c r="G1769" s="94"/>
    </row>
    <row r="1770" spans="1:7" x14ac:dyDescent="0.25">
      <c r="A1770" s="89"/>
      <c r="B1770" s="191"/>
      <c r="E1770" s="94"/>
      <c r="F1770" s="94"/>
      <c r="G1770" s="94"/>
    </row>
    <row r="1771" spans="1:7" x14ac:dyDescent="0.25">
      <c r="A1771" s="89"/>
      <c r="B1771" s="191"/>
      <c r="E1771" s="94"/>
      <c r="F1771" s="94"/>
      <c r="G1771" s="94"/>
    </row>
    <row r="1772" spans="1:7" x14ac:dyDescent="0.25">
      <c r="A1772" s="89"/>
      <c r="B1772" s="191"/>
      <c r="E1772" s="94"/>
      <c r="F1772" s="94"/>
      <c r="G1772" s="94"/>
    </row>
    <row r="1773" spans="1:7" x14ac:dyDescent="0.25">
      <c r="A1773" s="89"/>
      <c r="B1773" s="191"/>
      <c r="E1773" s="94"/>
      <c r="F1773" s="94"/>
      <c r="G1773" s="94"/>
    </row>
    <row r="1774" spans="1:7" x14ac:dyDescent="0.25">
      <c r="A1774" s="89"/>
      <c r="B1774" s="191"/>
      <c r="E1774" s="94"/>
      <c r="F1774" s="94"/>
      <c r="G1774" s="94"/>
    </row>
    <row r="1775" spans="1:7" x14ac:dyDescent="0.25">
      <c r="A1775" s="89"/>
      <c r="B1775" s="191"/>
      <c r="E1775" s="94"/>
      <c r="F1775" s="94"/>
      <c r="G1775" s="94"/>
    </row>
    <row r="1776" spans="1:7" x14ac:dyDescent="0.25">
      <c r="A1776" s="89"/>
      <c r="B1776" s="191"/>
      <c r="E1776" s="94"/>
      <c r="F1776" s="94"/>
      <c r="G1776" s="94"/>
    </row>
    <row r="1777" spans="1:7" x14ac:dyDescent="0.25">
      <c r="A1777" s="89"/>
      <c r="B1777" s="191"/>
      <c r="E1777" s="94"/>
      <c r="F1777" s="94"/>
      <c r="G1777" s="94"/>
    </row>
    <row r="1778" spans="1:7" x14ac:dyDescent="0.25">
      <c r="A1778" s="89"/>
      <c r="B1778" s="191"/>
      <c r="E1778" s="94"/>
      <c r="F1778" s="94"/>
      <c r="G1778" s="94"/>
    </row>
    <row r="1779" spans="1:7" x14ac:dyDescent="0.25">
      <c r="A1779" s="89"/>
      <c r="B1779" s="191"/>
      <c r="E1779" s="94"/>
      <c r="F1779" s="94"/>
      <c r="G1779" s="94"/>
    </row>
    <row r="1780" spans="1:7" x14ac:dyDescent="0.25">
      <c r="A1780" s="89"/>
      <c r="B1780" s="191"/>
      <c r="E1780" s="94"/>
      <c r="F1780" s="94"/>
      <c r="G1780" s="94"/>
    </row>
    <row r="1781" spans="1:7" x14ac:dyDescent="0.25">
      <c r="A1781" s="89"/>
      <c r="B1781" s="191"/>
      <c r="E1781" s="94"/>
      <c r="F1781" s="94"/>
      <c r="G1781" s="94"/>
    </row>
    <row r="1782" spans="1:7" x14ac:dyDescent="0.25">
      <c r="A1782" s="89"/>
      <c r="B1782" s="191"/>
      <c r="E1782" s="94"/>
      <c r="F1782" s="94"/>
      <c r="G1782" s="94"/>
    </row>
    <row r="1783" spans="1:7" x14ac:dyDescent="0.25">
      <c r="A1783" s="89"/>
      <c r="B1783" s="191"/>
      <c r="E1783" s="94"/>
      <c r="F1783" s="94"/>
      <c r="G1783" s="94"/>
    </row>
    <row r="1784" spans="1:7" x14ac:dyDescent="0.25">
      <c r="A1784" s="89"/>
      <c r="B1784" s="191"/>
      <c r="E1784" s="94"/>
      <c r="F1784" s="94"/>
      <c r="G1784" s="94"/>
    </row>
    <row r="1785" spans="1:7" x14ac:dyDescent="0.25">
      <c r="A1785" s="89"/>
      <c r="B1785" s="191"/>
      <c r="E1785" s="94"/>
      <c r="F1785" s="94"/>
      <c r="G1785" s="94"/>
    </row>
    <row r="1786" spans="1:7" x14ac:dyDescent="0.25">
      <c r="A1786" s="89"/>
      <c r="B1786" s="191"/>
      <c r="E1786" s="94"/>
      <c r="F1786" s="94"/>
      <c r="G1786" s="94"/>
    </row>
    <row r="1787" spans="1:7" x14ac:dyDescent="0.25">
      <c r="A1787" s="89"/>
      <c r="B1787" s="191"/>
      <c r="E1787" s="94"/>
      <c r="F1787" s="94"/>
      <c r="G1787" s="94"/>
    </row>
    <row r="1788" spans="1:7" x14ac:dyDescent="0.25">
      <c r="A1788" s="89"/>
      <c r="B1788" s="191"/>
      <c r="E1788" s="94"/>
      <c r="F1788" s="94"/>
      <c r="G1788" s="94"/>
    </row>
    <row r="1789" spans="1:7" x14ac:dyDescent="0.25">
      <c r="A1789" s="89"/>
      <c r="B1789" s="191"/>
      <c r="E1789" s="94"/>
      <c r="F1789" s="94"/>
      <c r="G1789" s="94"/>
    </row>
    <row r="1790" spans="1:7" x14ac:dyDescent="0.25">
      <c r="A1790" s="89"/>
      <c r="B1790" s="191"/>
      <c r="E1790" s="94"/>
      <c r="F1790" s="94"/>
      <c r="G1790" s="94"/>
    </row>
    <row r="1791" spans="1:7" x14ac:dyDescent="0.25">
      <c r="A1791" s="89"/>
      <c r="B1791" s="191"/>
      <c r="E1791" s="94"/>
      <c r="F1791" s="94"/>
      <c r="G1791" s="94"/>
    </row>
    <row r="1792" spans="1:7" x14ac:dyDescent="0.25">
      <c r="A1792" s="89"/>
      <c r="B1792" s="191"/>
      <c r="E1792" s="94"/>
      <c r="F1792" s="94"/>
      <c r="G1792" s="94"/>
    </row>
    <row r="1793" spans="1:7" x14ac:dyDescent="0.25">
      <c r="A1793" s="89"/>
      <c r="B1793" s="191"/>
      <c r="E1793" s="94"/>
      <c r="F1793" s="94"/>
      <c r="G1793" s="94"/>
    </row>
    <row r="1794" spans="1:7" x14ac:dyDescent="0.25">
      <c r="A1794" s="89"/>
      <c r="B1794" s="191"/>
      <c r="E1794" s="94"/>
      <c r="F1794" s="94"/>
      <c r="G1794" s="94"/>
    </row>
    <row r="1795" spans="1:7" x14ac:dyDescent="0.25">
      <c r="A1795" s="89"/>
      <c r="B1795" s="191"/>
      <c r="E1795" s="94"/>
      <c r="F1795" s="94"/>
      <c r="G1795" s="94"/>
    </row>
    <row r="1796" spans="1:7" x14ac:dyDescent="0.25">
      <c r="A1796" s="89"/>
      <c r="B1796" s="191"/>
      <c r="E1796" s="94"/>
      <c r="F1796" s="94"/>
      <c r="G1796" s="94"/>
    </row>
    <row r="1797" spans="1:7" x14ac:dyDescent="0.25">
      <c r="A1797" s="89"/>
      <c r="B1797" s="191"/>
      <c r="E1797" s="94"/>
      <c r="F1797" s="94"/>
      <c r="G1797" s="94"/>
    </row>
    <row r="1798" spans="1:7" x14ac:dyDescent="0.25">
      <c r="A1798" s="89"/>
      <c r="B1798" s="191"/>
      <c r="E1798" s="94"/>
      <c r="F1798" s="94"/>
      <c r="G1798" s="94"/>
    </row>
    <row r="1799" spans="1:7" x14ac:dyDescent="0.25">
      <c r="A1799" s="89"/>
      <c r="B1799" s="191"/>
      <c r="E1799" s="94"/>
      <c r="F1799" s="94"/>
      <c r="G1799" s="94"/>
    </row>
    <row r="1800" spans="1:7" x14ac:dyDescent="0.25">
      <c r="A1800" s="89"/>
      <c r="B1800" s="191"/>
      <c r="E1800" s="94"/>
      <c r="F1800" s="94"/>
      <c r="G1800" s="94"/>
    </row>
    <row r="1801" spans="1:7" x14ac:dyDescent="0.25">
      <c r="A1801" s="89"/>
      <c r="B1801" s="191"/>
      <c r="E1801" s="94"/>
      <c r="F1801" s="94"/>
      <c r="G1801" s="94"/>
    </row>
    <row r="1802" spans="1:7" x14ac:dyDescent="0.25">
      <c r="A1802" s="89"/>
      <c r="B1802" s="191"/>
      <c r="E1802" s="94"/>
      <c r="F1802" s="94"/>
      <c r="G1802" s="94"/>
    </row>
    <row r="1803" spans="1:7" x14ac:dyDescent="0.25">
      <c r="A1803" s="89"/>
      <c r="B1803" s="191"/>
      <c r="E1803" s="94"/>
      <c r="F1803" s="94"/>
      <c r="G1803" s="94"/>
    </row>
    <row r="1804" spans="1:7" x14ac:dyDescent="0.25">
      <c r="A1804" s="89"/>
      <c r="B1804" s="191"/>
      <c r="E1804" s="94"/>
      <c r="F1804" s="94"/>
      <c r="G1804" s="94"/>
    </row>
    <row r="1805" spans="1:7" x14ac:dyDescent="0.25">
      <c r="A1805" s="89"/>
      <c r="B1805" s="191"/>
      <c r="E1805" s="94"/>
      <c r="F1805" s="94"/>
      <c r="G1805" s="94"/>
    </row>
    <row r="1806" spans="1:7" x14ac:dyDescent="0.25">
      <c r="A1806" s="89"/>
      <c r="B1806" s="191"/>
      <c r="E1806" s="94"/>
      <c r="F1806" s="94"/>
      <c r="G1806" s="94"/>
    </row>
    <row r="1807" spans="1:7" x14ac:dyDescent="0.25">
      <c r="A1807" s="89"/>
      <c r="B1807" s="191"/>
      <c r="E1807" s="94"/>
      <c r="F1807" s="94"/>
      <c r="G1807" s="94"/>
    </row>
    <row r="1808" spans="1:7" x14ac:dyDescent="0.25">
      <c r="A1808" s="89"/>
      <c r="B1808" s="191"/>
      <c r="E1808" s="94"/>
      <c r="F1808" s="94"/>
      <c r="G1808" s="94"/>
    </row>
    <row r="1809" spans="1:7" x14ac:dyDescent="0.25">
      <c r="A1809" s="89"/>
      <c r="B1809" s="191"/>
      <c r="E1809" s="94"/>
      <c r="F1809" s="94"/>
      <c r="G1809" s="94"/>
    </row>
    <row r="1810" spans="1:7" x14ac:dyDescent="0.25">
      <c r="A1810" s="89"/>
      <c r="B1810" s="191"/>
      <c r="E1810" s="94"/>
      <c r="F1810" s="94"/>
      <c r="G1810" s="94"/>
    </row>
    <row r="1811" spans="1:7" x14ac:dyDescent="0.25">
      <c r="A1811" s="89"/>
      <c r="B1811" s="191"/>
      <c r="E1811" s="94"/>
      <c r="F1811" s="94"/>
      <c r="G1811" s="94"/>
    </row>
    <row r="1812" spans="1:7" x14ac:dyDescent="0.25">
      <c r="A1812" s="89"/>
      <c r="B1812" s="191"/>
      <c r="E1812" s="94"/>
      <c r="F1812" s="94"/>
      <c r="G1812" s="94"/>
    </row>
    <row r="1813" spans="1:7" x14ac:dyDescent="0.25">
      <c r="A1813" s="89"/>
      <c r="B1813" s="191"/>
      <c r="E1813" s="94"/>
      <c r="F1813" s="94"/>
      <c r="G1813" s="94"/>
    </row>
    <row r="1814" spans="1:7" x14ac:dyDescent="0.25">
      <c r="A1814" s="89"/>
      <c r="B1814" s="191"/>
      <c r="E1814" s="94"/>
      <c r="F1814" s="94"/>
      <c r="G1814" s="94"/>
    </row>
    <row r="1815" spans="1:7" x14ac:dyDescent="0.25">
      <c r="A1815" s="89"/>
      <c r="B1815" s="191"/>
      <c r="E1815" s="94"/>
      <c r="F1815" s="94"/>
      <c r="G1815" s="94"/>
    </row>
    <row r="1816" spans="1:7" x14ac:dyDescent="0.25">
      <c r="A1816" s="89"/>
      <c r="B1816" s="191"/>
      <c r="E1816" s="94"/>
      <c r="F1816" s="94"/>
      <c r="G1816" s="94"/>
    </row>
    <row r="1817" spans="1:7" x14ac:dyDescent="0.25">
      <c r="A1817" s="89"/>
      <c r="B1817" s="191"/>
      <c r="E1817" s="94"/>
      <c r="F1817" s="94"/>
      <c r="G1817" s="94"/>
    </row>
    <row r="1818" spans="1:7" x14ac:dyDescent="0.25">
      <c r="A1818" s="89"/>
      <c r="B1818" s="191"/>
      <c r="E1818" s="94"/>
      <c r="F1818" s="94"/>
      <c r="G1818" s="94"/>
    </row>
    <row r="1819" spans="1:7" x14ac:dyDescent="0.25">
      <c r="A1819" s="89"/>
      <c r="B1819" s="191"/>
      <c r="E1819" s="94"/>
      <c r="F1819" s="94"/>
      <c r="G1819" s="94"/>
    </row>
    <row r="1820" spans="1:7" x14ac:dyDescent="0.25">
      <c r="A1820" s="89"/>
      <c r="B1820" s="191"/>
      <c r="E1820" s="94"/>
      <c r="F1820" s="94"/>
      <c r="G1820" s="94"/>
    </row>
    <row r="1821" spans="1:7" x14ac:dyDescent="0.25">
      <c r="A1821" s="89"/>
      <c r="B1821" s="191"/>
      <c r="E1821" s="94"/>
      <c r="F1821" s="94"/>
      <c r="G1821" s="94"/>
    </row>
    <row r="1822" spans="1:7" x14ac:dyDescent="0.25">
      <c r="A1822" s="89"/>
      <c r="B1822" s="191"/>
      <c r="E1822" s="94"/>
      <c r="F1822" s="94"/>
      <c r="G1822" s="94"/>
    </row>
    <row r="1823" spans="1:7" x14ac:dyDescent="0.25">
      <c r="A1823" s="89"/>
      <c r="B1823" s="191"/>
      <c r="E1823" s="94"/>
      <c r="F1823" s="94"/>
      <c r="G1823" s="94"/>
    </row>
    <row r="1824" spans="1:7" x14ac:dyDescent="0.25">
      <c r="A1824" s="89"/>
      <c r="B1824" s="191"/>
      <c r="E1824" s="94"/>
      <c r="F1824" s="94"/>
      <c r="G1824" s="94"/>
    </row>
    <row r="1825" spans="1:7" x14ac:dyDescent="0.25">
      <c r="A1825" s="89"/>
      <c r="B1825" s="191"/>
      <c r="E1825" s="94"/>
      <c r="F1825" s="94"/>
      <c r="G1825" s="94"/>
    </row>
    <row r="1826" spans="1:7" x14ac:dyDescent="0.25">
      <c r="A1826" s="89"/>
      <c r="B1826" s="191"/>
      <c r="E1826" s="94"/>
      <c r="F1826" s="94"/>
      <c r="G1826" s="94"/>
    </row>
    <row r="1827" spans="1:7" x14ac:dyDescent="0.25">
      <c r="A1827" s="89"/>
      <c r="B1827" s="191"/>
      <c r="E1827" s="94"/>
      <c r="F1827" s="94"/>
      <c r="G1827" s="94"/>
    </row>
    <row r="1828" spans="1:7" x14ac:dyDescent="0.25">
      <c r="A1828" s="89"/>
      <c r="B1828" s="191"/>
      <c r="E1828" s="94"/>
      <c r="F1828" s="94"/>
      <c r="G1828" s="94"/>
    </row>
    <row r="1829" spans="1:7" x14ac:dyDescent="0.25">
      <c r="A1829" s="89"/>
      <c r="B1829" s="191"/>
      <c r="E1829" s="94"/>
      <c r="F1829" s="94"/>
      <c r="G1829" s="94"/>
    </row>
    <row r="1830" spans="1:7" x14ac:dyDescent="0.25">
      <c r="A1830" s="89"/>
      <c r="B1830" s="191"/>
      <c r="E1830" s="94"/>
      <c r="F1830" s="94"/>
      <c r="G1830" s="94"/>
    </row>
    <row r="1831" spans="1:7" x14ac:dyDescent="0.25">
      <c r="A1831" s="89"/>
      <c r="B1831" s="191"/>
      <c r="E1831" s="94"/>
      <c r="F1831" s="94"/>
      <c r="G1831" s="94"/>
    </row>
    <row r="1832" spans="1:7" x14ac:dyDescent="0.25">
      <c r="A1832" s="89"/>
      <c r="B1832" s="191"/>
      <c r="E1832" s="94"/>
      <c r="F1832" s="94"/>
      <c r="G1832" s="94"/>
    </row>
    <row r="1833" spans="1:7" x14ac:dyDescent="0.25">
      <c r="A1833" s="89"/>
      <c r="B1833" s="191"/>
      <c r="E1833" s="94"/>
      <c r="F1833" s="94"/>
      <c r="G1833" s="94"/>
    </row>
    <row r="1834" spans="1:7" x14ac:dyDescent="0.25">
      <c r="A1834" s="89"/>
      <c r="B1834" s="191"/>
      <c r="E1834" s="94"/>
      <c r="F1834" s="94"/>
      <c r="G1834" s="94"/>
    </row>
    <row r="1835" spans="1:7" x14ac:dyDescent="0.25">
      <c r="A1835" s="89"/>
      <c r="B1835" s="191"/>
      <c r="E1835" s="94"/>
      <c r="F1835" s="94"/>
      <c r="G1835" s="94"/>
    </row>
    <row r="1836" spans="1:7" x14ac:dyDescent="0.25">
      <c r="A1836" s="89"/>
      <c r="B1836" s="191"/>
      <c r="E1836" s="94"/>
      <c r="F1836" s="94"/>
      <c r="G1836" s="94"/>
    </row>
    <row r="1837" spans="1:7" x14ac:dyDescent="0.25">
      <c r="A1837" s="89"/>
      <c r="B1837" s="191"/>
      <c r="E1837" s="94"/>
      <c r="F1837" s="94"/>
      <c r="G1837" s="94"/>
    </row>
    <row r="1838" spans="1:7" x14ac:dyDescent="0.25">
      <c r="A1838" s="89"/>
      <c r="B1838" s="191"/>
      <c r="E1838" s="94"/>
      <c r="F1838" s="94"/>
      <c r="G1838" s="94"/>
    </row>
    <row r="1839" spans="1:7" x14ac:dyDescent="0.25">
      <c r="A1839" s="89"/>
      <c r="B1839" s="191"/>
      <c r="E1839" s="94"/>
      <c r="F1839" s="94"/>
      <c r="G1839" s="94"/>
    </row>
    <row r="1840" spans="1:7" x14ac:dyDescent="0.25">
      <c r="A1840" s="89"/>
      <c r="B1840" s="191"/>
      <c r="E1840" s="94"/>
      <c r="F1840" s="94"/>
      <c r="G1840" s="94"/>
    </row>
    <row r="1841" spans="1:7" x14ac:dyDescent="0.25">
      <c r="A1841" s="89"/>
      <c r="B1841" s="191"/>
      <c r="E1841" s="94"/>
      <c r="F1841" s="94"/>
      <c r="G1841" s="94"/>
    </row>
    <row r="1842" spans="1:7" x14ac:dyDescent="0.25">
      <c r="A1842" s="89"/>
      <c r="B1842" s="191"/>
      <c r="E1842" s="94"/>
      <c r="F1842" s="94"/>
      <c r="G1842" s="94"/>
    </row>
    <row r="1843" spans="1:7" x14ac:dyDescent="0.25">
      <c r="A1843" s="89"/>
      <c r="B1843" s="191"/>
      <c r="E1843" s="94"/>
      <c r="F1843" s="94"/>
      <c r="G1843" s="94"/>
    </row>
    <row r="1844" spans="1:7" x14ac:dyDescent="0.25">
      <c r="A1844" s="89"/>
      <c r="B1844" s="191"/>
      <c r="E1844" s="94"/>
      <c r="F1844" s="94"/>
      <c r="G1844" s="94"/>
    </row>
    <row r="1845" spans="1:7" x14ac:dyDescent="0.25">
      <c r="A1845" s="89"/>
      <c r="B1845" s="191"/>
      <c r="E1845" s="94"/>
      <c r="F1845" s="94"/>
      <c r="G1845" s="94"/>
    </row>
    <row r="1846" spans="1:7" x14ac:dyDescent="0.25">
      <c r="A1846" s="89"/>
      <c r="B1846" s="191"/>
      <c r="E1846" s="94"/>
      <c r="F1846" s="94"/>
      <c r="G1846" s="94"/>
    </row>
    <row r="1847" spans="1:7" x14ac:dyDescent="0.25">
      <c r="A1847" s="89"/>
      <c r="B1847" s="191"/>
      <c r="E1847" s="94"/>
      <c r="F1847" s="94"/>
      <c r="G1847" s="94"/>
    </row>
    <row r="1848" spans="1:7" x14ac:dyDescent="0.25">
      <c r="A1848" s="89"/>
      <c r="B1848" s="191"/>
      <c r="E1848" s="94"/>
      <c r="F1848" s="94"/>
      <c r="G1848" s="94"/>
    </row>
    <row r="1849" spans="1:7" x14ac:dyDescent="0.25">
      <c r="A1849" s="89"/>
      <c r="B1849" s="191"/>
      <c r="E1849" s="94"/>
      <c r="F1849" s="94"/>
      <c r="G1849" s="94"/>
    </row>
    <row r="1850" spans="1:7" x14ac:dyDescent="0.25">
      <c r="A1850" s="89"/>
      <c r="B1850" s="191"/>
      <c r="E1850" s="94"/>
      <c r="F1850" s="94"/>
      <c r="G1850" s="94"/>
    </row>
    <row r="1851" spans="1:7" x14ac:dyDescent="0.25">
      <c r="A1851" s="89"/>
      <c r="B1851" s="191"/>
      <c r="E1851" s="94"/>
      <c r="F1851" s="94"/>
      <c r="G1851" s="94"/>
    </row>
    <row r="1852" spans="1:7" x14ac:dyDescent="0.25">
      <c r="A1852" s="89"/>
      <c r="B1852" s="191"/>
      <c r="E1852" s="94"/>
      <c r="F1852" s="94"/>
      <c r="G1852" s="94"/>
    </row>
    <row r="1853" spans="1:7" x14ac:dyDescent="0.25">
      <c r="A1853" s="89"/>
      <c r="B1853" s="191"/>
      <c r="E1853" s="94"/>
      <c r="F1853" s="94"/>
      <c r="G1853" s="94"/>
    </row>
    <row r="1854" spans="1:7" x14ac:dyDescent="0.25">
      <c r="A1854" s="89"/>
      <c r="B1854" s="191"/>
      <c r="E1854" s="94"/>
      <c r="F1854" s="94"/>
      <c r="G1854" s="94"/>
    </row>
    <row r="1855" spans="1:7" x14ac:dyDescent="0.25">
      <c r="A1855" s="89"/>
      <c r="B1855" s="191"/>
      <c r="E1855" s="94"/>
      <c r="F1855" s="94"/>
      <c r="G1855" s="94"/>
    </row>
    <row r="1856" spans="1:7" x14ac:dyDescent="0.25">
      <c r="A1856" s="89"/>
      <c r="B1856" s="191"/>
      <c r="E1856" s="94"/>
      <c r="F1856" s="94"/>
      <c r="G1856" s="94"/>
    </row>
    <row r="1857" spans="1:7" x14ac:dyDescent="0.25">
      <c r="A1857" s="89"/>
      <c r="B1857" s="191"/>
      <c r="E1857" s="94"/>
      <c r="F1857" s="94"/>
      <c r="G1857" s="94"/>
    </row>
    <row r="1858" spans="1:7" x14ac:dyDescent="0.25">
      <c r="A1858" s="89"/>
      <c r="B1858" s="191"/>
      <c r="E1858" s="94"/>
      <c r="F1858" s="94"/>
      <c r="G1858" s="94"/>
    </row>
    <row r="1859" spans="1:7" x14ac:dyDescent="0.25">
      <c r="A1859" s="89"/>
      <c r="B1859" s="191"/>
      <c r="E1859" s="94"/>
      <c r="F1859" s="94"/>
      <c r="G1859" s="94"/>
    </row>
    <row r="1860" spans="1:7" x14ac:dyDescent="0.25">
      <c r="A1860" s="89"/>
      <c r="B1860" s="191"/>
      <c r="E1860" s="94"/>
      <c r="F1860" s="94"/>
      <c r="G1860" s="94"/>
    </row>
    <row r="1861" spans="1:7" x14ac:dyDescent="0.25">
      <c r="A1861" s="89"/>
      <c r="B1861" s="191"/>
      <c r="E1861" s="94"/>
      <c r="F1861" s="94"/>
      <c r="G1861" s="94"/>
    </row>
    <row r="1862" spans="1:7" x14ac:dyDescent="0.25">
      <c r="A1862" s="89"/>
      <c r="B1862" s="191"/>
      <c r="E1862" s="94"/>
      <c r="F1862" s="94"/>
      <c r="G1862" s="94"/>
    </row>
    <row r="1863" spans="1:7" x14ac:dyDescent="0.25">
      <c r="A1863" s="89"/>
      <c r="B1863" s="191"/>
      <c r="E1863" s="94"/>
      <c r="F1863" s="94"/>
      <c r="G1863" s="94"/>
    </row>
    <row r="1864" spans="1:7" x14ac:dyDescent="0.25">
      <c r="A1864" s="89"/>
      <c r="B1864" s="191"/>
      <c r="E1864" s="94"/>
      <c r="F1864" s="94"/>
      <c r="G1864" s="94"/>
    </row>
    <row r="1865" spans="1:7" x14ac:dyDescent="0.25">
      <c r="A1865" s="89"/>
      <c r="B1865" s="191"/>
      <c r="E1865" s="94"/>
      <c r="F1865" s="94"/>
      <c r="G1865" s="94"/>
    </row>
    <row r="1866" spans="1:7" x14ac:dyDescent="0.25">
      <c r="A1866" s="89"/>
      <c r="B1866" s="191"/>
      <c r="E1866" s="94"/>
      <c r="F1866" s="94"/>
      <c r="G1866" s="94"/>
    </row>
    <row r="1867" spans="1:7" x14ac:dyDescent="0.25">
      <c r="A1867" s="89"/>
      <c r="B1867" s="191"/>
      <c r="E1867" s="94"/>
      <c r="F1867" s="94"/>
      <c r="G1867" s="94"/>
    </row>
    <row r="1868" spans="1:7" x14ac:dyDescent="0.25">
      <c r="A1868" s="89"/>
      <c r="B1868" s="191"/>
      <c r="E1868" s="94"/>
      <c r="F1868" s="94"/>
      <c r="G1868" s="94"/>
    </row>
    <row r="1869" spans="1:7" x14ac:dyDescent="0.25">
      <c r="A1869" s="89"/>
      <c r="B1869" s="191"/>
      <c r="E1869" s="94"/>
      <c r="F1869" s="94"/>
      <c r="G1869" s="94"/>
    </row>
    <row r="1870" spans="1:7" x14ac:dyDescent="0.25">
      <c r="A1870" s="89"/>
      <c r="B1870" s="191"/>
      <c r="E1870" s="94"/>
      <c r="F1870" s="94"/>
      <c r="G1870" s="94"/>
    </row>
    <row r="1871" spans="1:7" x14ac:dyDescent="0.25">
      <c r="A1871" s="89"/>
      <c r="B1871" s="191"/>
      <c r="E1871" s="94"/>
      <c r="F1871" s="94"/>
      <c r="G1871" s="94"/>
    </row>
    <row r="1872" spans="1:7" x14ac:dyDescent="0.25">
      <c r="A1872" s="89"/>
      <c r="B1872" s="191"/>
      <c r="E1872" s="94"/>
      <c r="F1872" s="94"/>
      <c r="G1872" s="94"/>
    </row>
    <row r="1873" spans="1:7" x14ac:dyDescent="0.25">
      <c r="A1873" s="89"/>
      <c r="B1873" s="191"/>
      <c r="E1873" s="94"/>
      <c r="F1873" s="94"/>
      <c r="G1873" s="94"/>
    </row>
    <row r="1874" spans="1:7" x14ac:dyDescent="0.25">
      <c r="A1874" s="89"/>
      <c r="B1874" s="191"/>
      <c r="E1874" s="94"/>
      <c r="F1874" s="94"/>
      <c r="G1874" s="94"/>
    </row>
    <row r="1875" spans="1:7" x14ac:dyDescent="0.25">
      <c r="A1875" s="89"/>
      <c r="B1875" s="191"/>
      <c r="E1875" s="94"/>
      <c r="F1875" s="94"/>
      <c r="G1875" s="94"/>
    </row>
    <row r="1876" spans="1:7" x14ac:dyDescent="0.25">
      <c r="A1876" s="89"/>
      <c r="B1876" s="191"/>
      <c r="E1876" s="94"/>
      <c r="F1876" s="94"/>
      <c r="G1876" s="94"/>
    </row>
    <row r="1877" spans="1:7" x14ac:dyDescent="0.25">
      <c r="A1877" s="89"/>
      <c r="B1877" s="191"/>
      <c r="E1877" s="94"/>
      <c r="F1877" s="94"/>
      <c r="G1877" s="94"/>
    </row>
    <row r="1878" spans="1:7" x14ac:dyDescent="0.25">
      <c r="A1878" s="89"/>
      <c r="B1878" s="191"/>
      <c r="E1878" s="94"/>
      <c r="F1878" s="94"/>
      <c r="G1878" s="94"/>
    </row>
    <row r="1879" spans="1:7" x14ac:dyDescent="0.25">
      <c r="A1879" s="89"/>
      <c r="B1879" s="191"/>
      <c r="E1879" s="94"/>
      <c r="F1879" s="94"/>
      <c r="G1879" s="94"/>
    </row>
    <row r="1880" spans="1:7" x14ac:dyDescent="0.25">
      <c r="A1880" s="89"/>
      <c r="B1880" s="191"/>
      <c r="E1880" s="94"/>
      <c r="F1880" s="94"/>
      <c r="G1880" s="94"/>
    </row>
    <row r="1881" spans="1:7" x14ac:dyDescent="0.25">
      <c r="A1881" s="89"/>
      <c r="B1881" s="191"/>
      <c r="E1881" s="94"/>
      <c r="F1881" s="94"/>
      <c r="G1881" s="94"/>
    </row>
    <row r="1882" spans="1:7" x14ac:dyDescent="0.25">
      <c r="A1882" s="89"/>
      <c r="B1882" s="191"/>
      <c r="E1882" s="94"/>
      <c r="F1882" s="94"/>
      <c r="G1882" s="94"/>
    </row>
    <row r="1883" spans="1:7" x14ac:dyDescent="0.25">
      <c r="A1883" s="89"/>
      <c r="B1883" s="191"/>
      <c r="E1883" s="94"/>
      <c r="F1883" s="94"/>
      <c r="G1883" s="94"/>
    </row>
    <row r="1884" spans="1:7" x14ac:dyDescent="0.25">
      <c r="A1884" s="89"/>
      <c r="B1884" s="191"/>
      <c r="E1884" s="94"/>
      <c r="F1884" s="94"/>
      <c r="G1884" s="94"/>
    </row>
    <row r="1885" spans="1:7" x14ac:dyDescent="0.25">
      <c r="A1885" s="89"/>
      <c r="B1885" s="191"/>
      <c r="E1885" s="94"/>
      <c r="F1885" s="94"/>
      <c r="G1885" s="94"/>
    </row>
    <row r="1886" spans="1:7" x14ac:dyDescent="0.25">
      <c r="A1886" s="89"/>
      <c r="B1886" s="191"/>
      <c r="E1886" s="94"/>
      <c r="F1886" s="94"/>
      <c r="G1886" s="94"/>
    </row>
    <row r="1887" spans="1:7" x14ac:dyDescent="0.25">
      <c r="A1887" s="89"/>
      <c r="B1887" s="191"/>
      <c r="E1887" s="94"/>
      <c r="F1887" s="94"/>
      <c r="G1887" s="94"/>
    </row>
    <row r="1888" spans="1:7" x14ac:dyDescent="0.25">
      <c r="A1888" s="89"/>
      <c r="B1888" s="191"/>
      <c r="E1888" s="94"/>
      <c r="F1888" s="94"/>
      <c r="G1888" s="94"/>
    </row>
    <row r="1889" spans="1:7" x14ac:dyDescent="0.25">
      <c r="A1889" s="89"/>
      <c r="B1889" s="191"/>
      <c r="E1889" s="94"/>
      <c r="F1889" s="94"/>
      <c r="G1889" s="94"/>
    </row>
    <row r="1890" spans="1:7" x14ac:dyDescent="0.25">
      <c r="A1890" s="89"/>
      <c r="B1890" s="191"/>
      <c r="E1890" s="94"/>
      <c r="F1890" s="94"/>
      <c r="G1890" s="94"/>
    </row>
    <row r="1891" spans="1:7" x14ac:dyDescent="0.25">
      <c r="A1891" s="89"/>
      <c r="B1891" s="191"/>
      <c r="E1891" s="94"/>
      <c r="F1891" s="94"/>
      <c r="G1891" s="94"/>
    </row>
    <row r="1892" spans="1:7" x14ac:dyDescent="0.25">
      <c r="A1892" s="89"/>
      <c r="B1892" s="191"/>
      <c r="E1892" s="94"/>
      <c r="F1892" s="94"/>
      <c r="G1892" s="94"/>
    </row>
    <row r="1893" spans="1:7" x14ac:dyDescent="0.25">
      <c r="A1893" s="89"/>
      <c r="B1893" s="191"/>
      <c r="E1893" s="94"/>
      <c r="F1893" s="94"/>
      <c r="G1893" s="94"/>
    </row>
    <row r="1894" spans="1:7" x14ac:dyDescent="0.25">
      <c r="A1894" s="89"/>
      <c r="B1894" s="191"/>
      <c r="E1894" s="94"/>
      <c r="F1894" s="94"/>
      <c r="G1894" s="94"/>
    </row>
    <row r="1895" spans="1:7" x14ac:dyDescent="0.25">
      <c r="A1895" s="89"/>
      <c r="B1895" s="191"/>
      <c r="E1895" s="94"/>
      <c r="F1895" s="94"/>
      <c r="G1895" s="94"/>
    </row>
    <row r="1896" spans="1:7" x14ac:dyDescent="0.25">
      <c r="A1896" s="89"/>
      <c r="B1896" s="191"/>
      <c r="E1896" s="94"/>
      <c r="F1896" s="94"/>
      <c r="G1896" s="94"/>
    </row>
    <row r="1897" spans="1:7" x14ac:dyDescent="0.25">
      <c r="A1897" s="89"/>
      <c r="B1897" s="191"/>
      <c r="E1897" s="94"/>
      <c r="F1897" s="94"/>
      <c r="G1897" s="94"/>
    </row>
    <row r="1898" spans="1:7" x14ac:dyDescent="0.25">
      <c r="A1898" s="89"/>
      <c r="B1898" s="191"/>
      <c r="E1898" s="94"/>
      <c r="F1898" s="94"/>
      <c r="G1898" s="94"/>
    </row>
    <row r="1899" spans="1:7" x14ac:dyDescent="0.25">
      <c r="A1899" s="89"/>
      <c r="B1899" s="191"/>
      <c r="E1899" s="94"/>
      <c r="F1899" s="94"/>
      <c r="G1899" s="94"/>
    </row>
    <row r="1900" spans="1:7" x14ac:dyDescent="0.25">
      <c r="A1900" s="89"/>
      <c r="B1900" s="191"/>
      <c r="E1900" s="94"/>
      <c r="F1900" s="94"/>
      <c r="G1900" s="94"/>
    </row>
    <row r="1901" spans="1:7" x14ac:dyDescent="0.25">
      <c r="A1901" s="89"/>
      <c r="B1901" s="191"/>
      <c r="E1901" s="94"/>
      <c r="F1901" s="94"/>
      <c r="G1901" s="94"/>
    </row>
    <row r="1902" spans="1:7" x14ac:dyDescent="0.25">
      <c r="A1902" s="89"/>
      <c r="B1902" s="191"/>
      <c r="E1902" s="94"/>
      <c r="F1902" s="94"/>
      <c r="G1902" s="94"/>
    </row>
    <row r="1903" spans="1:7" x14ac:dyDescent="0.25">
      <c r="A1903" s="89"/>
      <c r="B1903" s="191"/>
      <c r="E1903" s="94"/>
      <c r="F1903" s="94"/>
      <c r="G1903" s="94"/>
    </row>
    <row r="1904" spans="1:7" x14ac:dyDescent="0.25">
      <c r="A1904" s="89"/>
      <c r="B1904" s="191"/>
      <c r="E1904" s="94"/>
      <c r="F1904" s="94"/>
      <c r="G1904" s="94"/>
    </row>
    <row r="1905" spans="1:7" x14ac:dyDescent="0.25">
      <c r="A1905" s="89"/>
      <c r="B1905" s="191"/>
      <c r="E1905" s="94"/>
      <c r="F1905" s="94"/>
      <c r="G1905" s="94"/>
    </row>
    <row r="1906" spans="1:7" x14ac:dyDescent="0.25">
      <c r="A1906" s="89"/>
      <c r="B1906" s="191"/>
      <c r="E1906" s="94"/>
      <c r="F1906" s="94"/>
      <c r="G1906" s="94"/>
    </row>
    <row r="1907" spans="1:7" x14ac:dyDescent="0.25">
      <c r="A1907" s="89"/>
      <c r="B1907" s="191"/>
      <c r="E1907" s="94"/>
      <c r="F1907" s="94"/>
      <c r="G1907" s="94"/>
    </row>
    <row r="1908" spans="1:7" x14ac:dyDescent="0.25">
      <c r="A1908" s="89"/>
      <c r="B1908" s="191"/>
      <c r="E1908" s="94"/>
      <c r="F1908" s="94"/>
      <c r="G1908" s="94"/>
    </row>
    <row r="1909" spans="1:7" x14ac:dyDescent="0.25">
      <c r="A1909" s="89"/>
      <c r="B1909" s="191"/>
      <c r="E1909" s="94"/>
      <c r="F1909" s="94"/>
      <c r="G1909" s="94"/>
    </row>
    <row r="1910" spans="1:7" x14ac:dyDescent="0.25">
      <c r="A1910" s="89"/>
      <c r="B1910" s="191"/>
      <c r="E1910" s="94"/>
      <c r="F1910" s="94"/>
      <c r="G1910" s="94"/>
    </row>
    <row r="1911" spans="1:7" x14ac:dyDescent="0.25">
      <c r="A1911" s="89"/>
      <c r="B1911" s="191"/>
      <c r="E1911" s="94"/>
      <c r="F1911" s="94"/>
      <c r="G1911" s="94"/>
    </row>
    <row r="1912" spans="1:7" x14ac:dyDescent="0.25">
      <c r="A1912" s="89"/>
      <c r="B1912" s="191"/>
      <c r="E1912" s="94"/>
      <c r="F1912" s="94"/>
      <c r="G1912" s="94"/>
    </row>
    <row r="1913" spans="1:7" x14ac:dyDescent="0.25">
      <c r="A1913" s="89"/>
      <c r="B1913" s="191"/>
      <c r="E1913" s="94"/>
      <c r="F1913" s="94"/>
      <c r="G1913" s="94"/>
    </row>
    <row r="1914" spans="1:7" x14ac:dyDescent="0.25">
      <c r="A1914" s="89"/>
      <c r="B1914" s="191"/>
      <c r="E1914" s="94"/>
      <c r="F1914" s="94"/>
      <c r="G1914" s="94"/>
    </row>
    <row r="1915" spans="1:7" x14ac:dyDescent="0.25">
      <c r="A1915" s="89"/>
      <c r="B1915" s="191"/>
      <c r="E1915" s="94"/>
      <c r="F1915" s="94"/>
      <c r="G1915" s="94"/>
    </row>
    <row r="1916" spans="1:7" x14ac:dyDescent="0.25">
      <c r="A1916" s="89"/>
      <c r="B1916" s="191"/>
      <c r="E1916" s="94"/>
      <c r="F1916" s="94"/>
      <c r="G1916" s="94"/>
    </row>
    <row r="1917" spans="1:7" x14ac:dyDescent="0.25">
      <c r="A1917" s="89"/>
      <c r="B1917" s="191"/>
      <c r="E1917" s="94"/>
      <c r="F1917" s="94"/>
      <c r="G1917" s="94"/>
    </row>
    <row r="1918" spans="1:7" x14ac:dyDescent="0.25">
      <c r="A1918" s="89"/>
      <c r="B1918" s="191"/>
      <c r="E1918" s="94"/>
      <c r="F1918" s="94"/>
      <c r="G1918" s="94"/>
    </row>
    <row r="1919" spans="1:7" x14ac:dyDescent="0.25">
      <c r="A1919" s="89"/>
      <c r="B1919" s="191"/>
      <c r="E1919" s="94"/>
      <c r="F1919" s="94"/>
      <c r="G1919" s="94"/>
    </row>
    <row r="1920" spans="1:7" x14ac:dyDescent="0.25">
      <c r="A1920" s="89"/>
      <c r="B1920" s="191"/>
      <c r="E1920" s="94"/>
      <c r="F1920" s="94"/>
      <c r="G1920" s="94"/>
    </row>
    <row r="1921" spans="1:7" x14ac:dyDescent="0.25">
      <c r="A1921" s="89"/>
      <c r="B1921" s="191"/>
      <c r="E1921" s="94"/>
      <c r="F1921" s="94"/>
      <c r="G1921" s="94"/>
    </row>
    <row r="1922" spans="1:7" x14ac:dyDescent="0.25">
      <c r="A1922" s="89"/>
      <c r="B1922" s="191"/>
      <c r="E1922" s="94"/>
      <c r="F1922" s="94"/>
      <c r="G1922" s="94"/>
    </row>
    <row r="1923" spans="1:7" x14ac:dyDescent="0.25">
      <c r="A1923" s="89"/>
      <c r="B1923" s="191"/>
      <c r="E1923" s="94"/>
      <c r="F1923" s="94"/>
      <c r="G1923" s="94"/>
    </row>
    <row r="1924" spans="1:7" x14ac:dyDescent="0.25">
      <c r="A1924" s="89"/>
      <c r="B1924" s="191"/>
      <c r="E1924" s="94"/>
      <c r="F1924" s="94"/>
      <c r="G1924" s="94"/>
    </row>
    <row r="1925" spans="1:7" x14ac:dyDescent="0.25">
      <c r="A1925" s="89"/>
      <c r="B1925" s="191"/>
      <c r="E1925" s="94"/>
      <c r="F1925" s="94"/>
      <c r="G1925" s="94"/>
    </row>
    <row r="1926" spans="1:7" x14ac:dyDescent="0.25">
      <c r="A1926" s="89"/>
      <c r="B1926" s="191"/>
      <c r="E1926" s="94"/>
      <c r="F1926" s="94"/>
      <c r="G1926" s="94"/>
    </row>
    <row r="1927" spans="1:7" x14ac:dyDescent="0.25">
      <c r="A1927" s="89"/>
      <c r="B1927" s="191"/>
      <c r="E1927" s="94"/>
      <c r="F1927" s="94"/>
      <c r="G1927" s="94"/>
    </row>
    <row r="1928" spans="1:7" x14ac:dyDescent="0.25">
      <c r="A1928" s="89"/>
      <c r="B1928" s="191"/>
      <c r="E1928" s="94"/>
      <c r="F1928" s="94"/>
      <c r="G1928" s="94"/>
    </row>
    <row r="1929" spans="1:7" x14ac:dyDescent="0.25">
      <c r="A1929" s="89"/>
      <c r="B1929" s="191"/>
      <c r="E1929" s="94"/>
      <c r="F1929" s="94"/>
      <c r="G1929" s="94"/>
    </row>
    <row r="1930" spans="1:7" x14ac:dyDescent="0.25">
      <c r="A1930" s="89"/>
      <c r="B1930" s="191"/>
      <c r="E1930" s="94"/>
      <c r="F1930" s="94"/>
      <c r="G1930" s="94"/>
    </row>
    <row r="1931" spans="1:7" x14ac:dyDescent="0.25">
      <c r="A1931" s="89"/>
      <c r="B1931" s="191"/>
      <c r="E1931" s="94"/>
      <c r="F1931" s="94"/>
      <c r="G1931" s="94"/>
    </row>
    <row r="1932" spans="1:7" x14ac:dyDescent="0.25">
      <c r="A1932" s="89"/>
      <c r="B1932" s="191"/>
      <c r="E1932" s="94"/>
      <c r="F1932" s="94"/>
      <c r="G1932" s="94"/>
    </row>
    <row r="1933" spans="1:7" x14ac:dyDescent="0.25">
      <c r="A1933" s="89"/>
      <c r="B1933" s="191"/>
      <c r="E1933" s="94"/>
      <c r="F1933" s="94"/>
      <c r="G1933" s="94"/>
    </row>
    <row r="1934" spans="1:7" x14ac:dyDescent="0.25">
      <c r="A1934" s="89"/>
      <c r="B1934" s="191"/>
      <c r="E1934" s="94"/>
      <c r="F1934" s="94"/>
      <c r="G1934" s="94"/>
    </row>
    <row r="1935" spans="1:7" x14ac:dyDescent="0.25">
      <c r="A1935" s="89"/>
      <c r="B1935" s="191"/>
      <c r="E1935" s="94"/>
      <c r="F1935" s="94"/>
      <c r="G1935" s="94"/>
    </row>
    <row r="1936" spans="1:7" x14ac:dyDescent="0.25">
      <c r="A1936" s="89"/>
      <c r="B1936" s="191"/>
      <c r="E1936" s="94"/>
      <c r="F1936" s="94"/>
      <c r="G1936" s="94"/>
    </row>
    <row r="1937" spans="1:7" x14ac:dyDescent="0.25">
      <c r="A1937" s="89"/>
      <c r="B1937" s="191"/>
      <c r="E1937" s="94"/>
      <c r="F1937" s="94"/>
      <c r="G1937" s="94"/>
    </row>
    <row r="1938" spans="1:7" x14ac:dyDescent="0.25">
      <c r="A1938" s="89"/>
      <c r="B1938" s="191"/>
      <c r="E1938" s="94"/>
      <c r="F1938" s="94"/>
      <c r="G1938" s="94"/>
    </row>
    <row r="1939" spans="1:7" x14ac:dyDescent="0.25">
      <c r="A1939" s="89"/>
      <c r="B1939" s="191"/>
      <c r="E1939" s="94"/>
      <c r="F1939" s="94"/>
      <c r="G1939" s="94"/>
    </row>
    <row r="1940" spans="1:7" x14ac:dyDescent="0.25">
      <c r="A1940" s="89"/>
      <c r="B1940" s="191"/>
      <c r="E1940" s="94"/>
      <c r="F1940" s="94"/>
      <c r="G1940" s="94"/>
    </row>
    <row r="1941" spans="1:7" x14ac:dyDescent="0.25">
      <c r="A1941" s="89"/>
      <c r="B1941" s="191"/>
      <c r="E1941" s="94"/>
      <c r="F1941" s="94"/>
      <c r="G1941" s="94"/>
    </row>
    <row r="1942" spans="1:7" x14ac:dyDescent="0.25">
      <c r="A1942" s="89"/>
      <c r="B1942" s="191"/>
      <c r="E1942" s="94"/>
      <c r="F1942" s="94"/>
      <c r="G1942" s="94"/>
    </row>
    <row r="1943" spans="1:7" x14ac:dyDescent="0.25">
      <c r="A1943" s="89"/>
      <c r="B1943" s="191"/>
      <c r="E1943" s="94"/>
      <c r="F1943" s="94"/>
      <c r="G1943" s="94"/>
    </row>
    <row r="1944" spans="1:7" x14ac:dyDescent="0.25">
      <c r="A1944" s="89"/>
      <c r="B1944" s="191"/>
      <c r="E1944" s="94"/>
      <c r="F1944" s="94"/>
      <c r="G1944" s="94"/>
    </row>
    <row r="1945" spans="1:7" x14ac:dyDescent="0.25">
      <c r="A1945" s="89"/>
      <c r="B1945" s="191"/>
      <c r="E1945" s="94"/>
      <c r="F1945" s="94"/>
      <c r="G1945" s="94"/>
    </row>
    <row r="1946" spans="1:7" x14ac:dyDescent="0.25">
      <c r="A1946" s="89"/>
      <c r="B1946" s="191"/>
      <c r="E1946" s="94"/>
      <c r="F1946" s="94"/>
      <c r="G1946" s="94"/>
    </row>
    <row r="1947" spans="1:7" x14ac:dyDescent="0.25">
      <c r="A1947" s="89"/>
      <c r="B1947" s="191"/>
      <c r="E1947" s="94"/>
      <c r="F1947" s="94"/>
      <c r="G1947" s="94"/>
    </row>
    <row r="1948" spans="1:7" x14ac:dyDescent="0.25">
      <c r="A1948" s="89"/>
      <c r="B1948" s="191"/>
      <c r="E1948" s="94"/>
      <c r="F1948" s="94"/>
      <c r="G1948" s="94"/>
    </row>
    <row r="1949" spans="1:7" x14ac:dyDescent="0.25">
      <c r="A1949" s="89"/>
      <c r="B1949" s="191"/>
      <c r="E1949" s="94"/>
      <c r="F1949" s="94"/>
      <c r="G1949" s="94"/>
    </row>
    <row r="1950" spans="1:7" x14ac:dyDescent="0.25">
      <c r="A1950" s="89"/>
      <c r="B1950" s="191"/>
      <c r="E1950" s="94"/>
      <c r="F1950" s="94"/>
      <c r="G1950" s="94"/>
    </row>
    <row r="1951" spans="1:7" x14ac:dyDescent="0.25">
      <c r="A1951" s="89"/>
      <c r="B1951" s="191"/>
      <c r="E1951" s="94"/>
      <c r="F1951" s="94"/>
      <c r="G1951" s="94"/>
    </row>
    <row r="1952" spans="1:7" x14ac:dyDescent="0.25">
      <c r="A1952" s="89"/>
      <c r="B1952" s="191"/>
      <c r="E1952" s="94"/>
      <c r="F1952" s="94"/>
      <c r="G1952" s="94"/>
    </row>
    <row r="1953" spans="1:7" x14ac:dyDescent="0.25">
      <c r="A1953" s="89"/>
      <c r="B1953" s="191"/>
      <c r="E1953" s="94"/>
      <c r="F1953" s="94"/>
      <c r="G1953" s="94"/>
    </row>
    <row r="1954" spans="1:7" x14ac:dyDescent="0.25">
      <c r="A1954" s="89"/>
      <c r="B1954" s="191"/>
      <c r="E1954" s="94"/>
      <c r="F1954" s="94"/>
      <c r="G1954" s="94"/>
    </row>
    <row r="1955" spans="1:7" x14ac:dyDescent="0.25">
      <c r="A1955" s="89"/>
      <c r="B1955" s="191"/>
      <c r="E1955" s="94"/>
      <c r="F1955" s="94"/>
      <c r="G1955" s="94"/>
    </row>
    <row r="1956" spans="1:7" x14ac:dyDescent="0.25">
      <c r="A1956" s="89"/>
      <c r="B1956" s="191"/>
      <c r="E1956" s="94"/>
      <c r="F1956" s="94"/>
      <c r="G1956" s="94"/>
    </row>
    <row r="1957" spans="1:7" x14ac:dyDescent="0.25">
      <c r="A1957" s="89"/>
      <c r="B1957" s="191"/>
      <c r="E1957" s="94"/>
      <c r="F1957" s="94"/>
      <c r="G1957" s="94"/>
    </row>
    <row r="1958" spans="1:7" x14ac:dyDescent="0.25">
      <c r="A1958" s="89"/>
      <c r="B1958" s="191"/>
      <c r="E1958" s="94"/>
      <c r="F1958" s="94"/>
      <c r="G1958" s="94"/>
    </row>
    <row r="1959" spans="1:7" x14ac:dyDescent="0.25">
      <c r="A1959" s="89"/>
      <c r="B1959" s="191"/>
      <c r="E1959" s="94"/>
      <c r="F1959" s="94"/>
      <c r="G1959" s="94"/>
    </row>
    <row r="1960" spans="1:7" x14ac:dyDescent="0.25">
      <c r="A1960" s="89"/>
      <c r="B1960" s="191"/>
      <c r="E1960" s="94"/>
      <c r="F1960" s="94"/>
      <c r="G1960" s="94"/>
    </row>
    <row r="1961" spans="1:7" x14ac:dyDescent="0.25">
      <c r="A1961" s="89"/>
      <c r="B1961" s="191"/>
      <c r="E1961" s="94"/>
      <c r="F1961" s="94"/>
      <c r="G1961" s="94"/>
    </row>
    <row r="1962" spans="1:7" x14ac:dyDescent="0.25">
      <c r="A1962" s="89"/>
      <c r="B1962" s="191"/>
      <c r="E1962" s="94"/>
      <c r="F1962" s="94"/>
      <c r="G1962" s="94"/>
    </row>
    <row r="1963" spans="1:7" x14ac:dyDescent="0.25">
      <c r="A1963" s="89"/>
      <c r="B1963" s="191"/>
      <c r="E1963" s="94"/>
      <c r="F1963" s="94"/>
      <c r="G1963" s="94"/>
    </row>
    <row r="1964" spans="1:7" x14ac:dyDescent="0.25">
      <c r="A1964" s="89"/>
      <c r="B1964" s="191"/>
      <c r="E1964" s="94"/>
      <c r="F1964" s="94"/>
      <c r="G1964" s="94"/>
    </row>
    <row r="1965" spans="1:7" x14ac:dyDescent="0.25">
      <c r="A1965" s="89"/>
      <c r="B1965" s="191"/>
      <c r="E1965" s="94"/>
      <c r="F1965" s="94"/>
      <c r="G1965" s="94"/>
    </row>
    <row r="1966" spans="1:7" x14ac:dyDescent="0.25">
      <c r="A1966" s="89"/>
      <c r="B1966" s="191"/>
      <c r="E1966" s="94"/>
      <c r="F1966" s="94"/>
      <c r="G1966" s="94"/>
    </row>
    <row r="1967" spans="1:7" x14ac:dyDescent="0.25">
      <c r="A1967" s="89"/>
      <c r="B1967" s="191"/>
      <c r="E1967" s="94"/>
      <c r="F1967" s="94"/>
      <c r="G1967" s="94"/>
    </row>
    <row r="1968" spans="1:7" x14ac:dyDescent="0.25">
      <c r="A1968" s="89"/>
      <c r="B1968" s="191"/>
      <c r="E1968" s="94"/>
      <c r="F1968" s="94"/>
      <c r="G1968" s="94"/>
    </row>
    <row r="1969" spans="1:7" x14ac:dyDescent="0.25">
      <c r="A1969" s="89"/>
      <c r="B1969" s="191"/>
      <c r="E1969" s="94"/>
      <c r="F1969" s="94"/>
      <c r="G1969" s="94"/>
    </row>
    <row r="1970" spans="1:7" x14ac:dyDescent="0.25">
      <c r="A1970" s="89"/>
      <c r="B1970" s="191"/>
      <c r="E1970" s="94"/>
      <c r="F1970" s="94"/>
      <c r="G1970" s="94"/>
    </row>
    <row r="1971" spans="1:7" x14ac:dyDescent="0.25">
      <c r="A1971" s="89"/>
      <c r="B1971" s="191"/>
      <c r="E1971" s="94"/>
      <c r="F1971" s="94"/>
      <c r="G1971" s="94"/>
    </row>
    <row r="1972" spans="1:7" x14ac:dyDescent="0.25">
      <c r="A1972" s="89"/>
      <c r="B1972" s="191"/>
      <c r="E1972" s="94"/>
      <c r="F1972" s="94"/>
      <c r="G1972" s="94"/>
    </row>
    <row r="1973" spans="1:7" x14ac:dyDescent="0.25">
      <c r="A1973" s="89"/>
      <c r="B1973" s="191"/>
      <c r="E1973" s="94"/>
      <c r="F1973" s="94"/>
      <c r="G1973" s="94"/>
    </row>
    <row r="1974" spans="1:7" x14ac:dyDescent="0.25">
      <c r="A1974" s="89"/>
      <c r="B1974" s="191"/>
      <c r="E1974" s="94"/>
      <c r="F1974" s="94"/>
      <c r="G1974" s="94"/>
    </row>
    <row r="1975" spans="1:7" x14ac:dyDescent="0.25">
      <c r="A1975" s="89"/>
      <c r="B1975" s="191"/>
      <c r="E1975" s="94"/>
      <c r="F1975" s="94"/>
      <c r="G1975" s="94"/>
    </row>
    <row r="1976" spans="1:7" x14ac:dyDescent="0.25">
      <c r="A1976" s="89"/>
      <c r="B1976" s="191"/>
      <c r="E1976" s="94"/>
      <c r="F1976" s="94"/>
      <c r="G1976" s="94"/>
    </row>
    <row r="1977" spans="1:7" x14ac:dyDescent="0.25">
      <c r="A1977" s="89"/>
      <c r="B1977" s="191"/>
      <c r="E1977" s="94"/>
      <c r="F1977" s="94"/>
      <c r="G1977" s="94"/>
    </row>
    <row r="1978" spans="1:7" x14ac:dyDescent="0.25">
      <c r="A1978" s="89"/>
      <c r="B1978" s="191"/>
      <c r="E1978" s="94"/>
      <c r="F1978" s="94"/>
      <c r="G1978" s="94"/>
    </row>
    <row r="1979" spans="1:7" x14ac:dyDescent="0.25">
      <c r="A1979" s="89"/>
      <c r="B1979" s="191"/>
      <c r="E1979" s="94"/>
      <c r="F1979" s="94"/>
      <c r="G1979" s="94"/>
    </row>
    <row r="1980" spans="1:7" x14ac:dyDescent="0.25">
      <c r="A1980" s="89"/>
      <c r="B1980" s="191"/>
      <c r="E1980" s="94"/>
      <c r="F1980" s="94"/>
      <c r="G1980" s="94"/>
    </row>
    <row r="1981" spans="1:7" x14ac:dyDescent="0.25">
      <c r="A1981" s="89"/>
      <c r="B1981" s="191"/>
      <c r="E1981" s="94"/>
      <c r="F1981" s="94"/>
      <c r="G1981" s="94"/>
    </row>
    <row r="1982" spans="1:7" x14ac:dyDescent="0.25">
      <c r="A1982" s="89"/>
      <c r="B1982" s="191"/>
      <c r="E1982" s="94"/>
      <c r="F1982" s="94"/>
      <c r="G1982" s="94"/>
    </row>
    <row r="1983" spans="1:7" x14ac:dyDescent="0.25">
      <c r="A1983" s="89"/>
      <c r="B1983" s="191"/>
      <c r="E1983" s="94"/>
      <c r="F1983" s="94"/>
      <c r="G1983" s="94"/>
    </row>
    <row r="1984" spans="1:7" x14ac:dyDescent="0.25">
      <c r="A1984" s="89"/>
      <c r="B1984" s="191"/>
      <c r="E1984" s="94"/>
      <c r="F1984" s="94"/>
      <c r="G1984" s="94"/>
    </row>
    <row r="1985" spans="1:7" x14ac:dyDescent="0.25">
      <c r="A1985" s="89"/>
      <c r="B1985" s="191"/>
      <c r="E1985" s="94"/>
      <c r="F1985" s="94"/>
      <c r="G1985" s="94"/>
    </row>
    <row r="1986" spans="1:7" x14ac:dyDescent="0.25">
      <c r="A1986" s="89"/>
      <c r="B1986" s="191"/>
      <c r="E1986" s="94"/>
      <c r="F1986" s="94"/>
      <c r="G1986" s="94"/>
    </row>
    <row r="1987" spans="1:7" x14ac:dyDescent="0.25">
      <c r="A1987" s="89"/>
      <c r="B1987" s="191"/>
      <c r="E1987" s="94"/>
      <c r="F1987" s="94"/>
      <c r="G1987" s="94"/>
    </row>
    <row r="1988" spans="1:7" x14ac:dyDescent="0.25">
      <c r="A1988" s="89"/>
      <c r="B1988" s="191"/>
      <c r="E1988" s="94"/>
      <c r="F1988" s="94"/>
      <c r="G1988" s="94"/>
    </row>
    <row r="1989" spans="1:7" x14ac:dyDescent="0.25">
      <c r="A1989" s="89"/>
      <c r="B1989" s="191"/>
      <c r="E1989" s="94"/>
      <c r="F1989" s="94"/>
      <c r="G1989" s="94"/>
    </row>
    <row r="1990" spans="1:7" x14ac:dyDescent="0.25">
      <c r="A1990" s="89"/>
      <c r="B1990" s="191"/>
      <c r="E1990" s="94"/>
      <c r="F1990" s="94"/>
      <c r="G1990" s="94"/>
    </row>
    <row r="1991" spans="1:7" x14ac:dyDescent="0.25">
      <c r="A1991" s="89"/>
      <c r="B1991" s="191"/>
      <c r="E1991" s="94"/>
      <c r="F1991" s="94"/>
      <c r="G1991" s="94"/>
    </row>
    <row r="1992" spans="1:7" x14ac:dyDescent="0.25">
      <c r="A1992" s="89"/>
      <c r="B1992" s="191"/>
      <c r="E1992" s="94"/>
      <c r="F1992" s="94"/>
      <c r="G1992" s="94"/>
    </row>
    <row r="1993" spans="1:7" x14ac:dyDescent="0.25">
      <c r="A1993" s="89"/>
      <c r="B1993" s="191"/>
      <c r="E1993" s="94"/>
      <c r="F1993" s="94"/>
      <c r="G1993" s="94"/>
    </row>
    <row r="1994" spans="1:7" x14ac:dyDescent="0.25">
      <c r="A1994" s="89"/>
      <c r="B1994" s="191"/>
      <c r="E1994" s="94"/>
      <c r="F1994" s="94"/>
      <c r="G1994" s="94"/>
    </row>
    <row r="1995" spans="1:7" x14ac:dyDescent="0.25">
      <c r="A1995" s="89"/>
      <c r="B1995" s="191"/>
      <c r="E1995" s="94"/>
      <c r="F1995" s="94"/>
      <c r="G1995" s="94"/>
    </row>
    <row r="1996" spans="1:7" x14ac:dyDescent="0.25">
      <c r="A1996" s="89"/>
      <c r="B1996" s="191"/>
      <c r="E1996" s="94"/>
      <c r="F1996" s="94"/>
      <c r="G1996" s="94"/>
    </row>
    <row r="1997" spans="1:7" x14ac:dyDescent="0.25">
      <c r="A1997" s="89"/>
      <c r="B1997" s="191"/>
      <c r="E1997" s="94"/>
      <c r="F1997" s="94"/>
      <c r="G1997" s="94"/>
    </row>
    <row r="1998" spans="1:7" x14ac:dyDescent="0.25">
      <c r="A1998" s="89"/>
      <c r="B1998" s="191"/>
      <c r="E1998" s="94"/>
      <c r="F1998" s="94"/>
      <c r="G1998" s="94"/>
    </row>
    <row r="1999" spans="1:7" x14ac:dyDescent="0.25">
      <c r="A1999" s="89"/>
      <c r="B1999" s="191"/>
      <c r="E1999" s="94"/>
      <c r="F1999" s="94"/>
      <c r="G1999" s="94"/>
    </row>
    <row r="2000" spans="1:7" x14ac:dyDescent="0.25">
      <c r="A2000" s="89"/>
      <c r="B2000" s="191"/>
      <c r="E2000" s="94"/>
      <c r="F2000" s="94"/>
      <c r="G2000" s="94"/>
    </row>
    <row r="2001" spans="1:7" x14ac:dyDescent="0.25">
      <c r="A2001" s="89"/>
      <c r="B2001" s="191"/>
      <c r="E2001" s="94"/>
      <c r="F2001" s="94"/>
      <c r="G2001" s="94"/>
    </row>
    <row r="2002" spans="1:7" x14ac:dyDescent="0.25">
      <c r="A2002" s="89"/>
      <c r="B2002" s="191"/>
      <c r="E2002" s="94"/>
      <c r="F2002" s="94"/>
      <c r="G2002" s="94"/>
    </row>
    <row r="2003" spans="1:7" x14ac:dyDescent="0.25">
      <c r="A2003" s="89"/>
      <c r="B2003" s="191"/>
      <c r="E2003" s="94"/>
      <c r="F2003" s="94"/>
      <c r="G2003" s="94"/>
    </row>
    <row r="2004" spans="1:7" x14ac:dyDescent="0.25">
      <c r="A2004" s="89"/>
      <c r="B2004" s="191"/>
      <c r="E2004" s="94"/>
      <c r="F2004" s="94"/>
      <c r="G2004" s="94"/>
    </row>
    <row r="2005" spans="1:7" x14ac:dyDescent="0.25">
      <c r="A2005" s="89"/>
      <c r="B2005" s="191"/>
      <c r="E2005" s="94"/>
      <c r="F2005" s="94"/>
      <c r="G2005" s="94"/>
    </row>
    <row r="2006" spans="1:7" x14ac:dyDescent="0.25">
      <c r="A2006" s="89"/>
      <c r="B2006" s="191"/>
      <c r="E2006" s="94"/>
      <c r="F2006" s="94"/>
      <c r="G2006" s="94"/>
    </row>
    <row r="2007" spans="1:7" x14ac:dyDescent="0.25">
      <c r="A2007" s="89"/>
      <c r="B2007" s="191"/>
      <c r="E2007" s="94"/>
      <c r="F2007" s="94"/>
      <c r="G2007" s="94"/>
    </row>
    <row r="2008" spans="1:7" x14ac:dyDescent="0.25">
      <c r="A2008" s="89"/>
      <c r="B2008" s="191"/>
      <c r="E2008" s="94"/>
      <c r="F2008" s="94"/>
      <c r="G2008" s="94"/>
    </row>
    <row r="2009" spans="1:7" x14ac:dyDescent="0.25">
      <c r="A2009" s="89"/>
      <c r="B2009" s="191"/>
      <c r="E2009" s="94"/>
      <c r="F2009" s="94"/>
      <c r="G2009" s="94"/>
    </row>
    <row r="2010" spans="1:7" x14ac:dyDescent="0.25">
      <c r="A2010" s="89"/>
      <c r="B2010" s="191"/>
      <c r="E2010" s="94"/>
      <c r="F2010" s="94"/>
      <c r="G2010" s="94"/>
    </row>
    <row r="2011" spans="1:7" x14ac:dyDescent="0.25">
      <c r="A2011" s="89"/>
      <c r="B2011" s="191"/>
      <c r="E2011" s="94"/>
      <c r="F2011" s="94"/>
      <c r="G2011" s="94"/>
    </row>
    <row r="2012" spans="1:7" x14ac:dyDescent="0.25">
      <c r="A2012" s="89"/>
      <c r="B2012" s="191"/>
      <c r="E2012" s="94"/>
      <c r="F2012" s="94"/>
      <c r="G2012" s="94"/>
    </row>
    <row r="2013" spans="1:7" x14ac:dyDescent="0.25">
      <c r="A2013" s="89"/>
      <c r="B2013" s="191"/>
      <c r="E2013" s="94"/>
      <c r="F2013" s="94"/>
      <c r="G2013" s="94"/>
    </row>
    <row r="2014" spans="1:7" x14ac:dyDescent="0.25">
      <c r="A2014" s="89"/>
      <c r="B2014" s="191"/>
      <c r="E2014" s="94"/>
      <c r="F2014" s="94"/>
      <c r="G2014" s="94"/>
    </row>
    <row r="2015" spans="1:7" x14ac:dyDescent="0.25">
      <c r="A2015" s="89"/>
      <c r="B2015" s="191"/>
      <c r="E2015" s="94"/>
      <c r="F2015" s="94"/>
      <c r="G2015" s="94"/>
    </row>
    <row r="2016" spans="1:7" x14ac:dyDescent="0.25">
      <c r="A2016" s="89"/>
      <c r="B2016" s="191"/>
      <c r="E2016" s="94"/>
      <c r="F2016" s="94"/>
      <c r="G2016" s="94"/>
    </row>
    <row r="2017" spans="1:7" x14ac:dyDescent="0.25">
      <c r="A2017" s="89"/>
      <c r="B2017" s="191"/>
      <c r="E2017" s="94"/>
      <c r="F2017" s="94"/>
      <c r="G2017" s="94"/>
    </row>
    <row r="2018" spans="1:7" x14ac:dyDescent="0.25">
      <c r="A2018" s="89"/>
      <c r="B2018" s="191"/>
      <c r="E2018" s="94"/>
      <c r="F2018" s="94"/>
      <c r="G2018" s="94"/>
    </row>
    <row r="2019" spans="1:7" x14ac:dyDescent="0.25">
      <c r="A2019" s="89"/>
      <c r="B2019" s="191"/>
      <c r="E2019" s="94"/>
      <c r="F2019" s="94"/>
      <c r="G2019" s="94"/>
    </row>
    <row r="2020" spans="1:7" x14ac:dyDescent="0.25">
      <c r="A2020" s="89"/>
      <c r="B2020" s="191"/>
      <c r="E2020" s="94"/>
      <c r="F2020" s="94"/>
      <c r="G2020" s="94"/>
    </row>
    <row r="2021" spans="1:7" x14ac:dyDescent="0.25">
      <c r="A2021" s="89"/>
      <c r="B2021" s="191"/>
      <c r="E2021" s="94"/>
      <c r="F2021" s="94"/>
      <c r="G2021" s="94"/>
    </row>
    <row r="2022" spans="1:7" x14ac:dyDescent="0.25">
      <c r="A2022" s="89"/>
      <c r="B2022" s="191"/>
      <c r="E2022" s="94"/>
      <c r="F2022" s="94"/>
      <c r="G2022" s="94"/>
    </row>
    <row r="2023" spans="1:7" x14ac:dyDescent="0.25">
      <c r="A2023" s="89"/>
      <c r="B2023" s="191"/>
      <c r="E2023" s="94"/>
      <c r="F2023" s="94"/>
      <c r="G2023" s="94"/>
    </row>
    <row r="2024" spans="1:7" x14ac:dyDescent="0.25">
      <c r="A2024" s="89"/>
      <c r="B2024" s="191"/>
      <c r="E2024" s="94"/>
      <c r="F2024" s="94"/>
      <c r="G2024" s="94"/>
    </row>
    <row r="2025" spans="1:7" x14ac:dyDescent="0.25">
      <c r="A2025" s="89"/>
      <c r="B2025" s="191"/>
      <c r="E2025" s="94"/>
      <c r="F2025" s="94"/>
      <c r="G2025" s="94"/>
    </row>
    <row r="2026" spans="1:7" x14ac:dyDescent="0.25">
      <c r="A2026" s="89"/>
      <c r="B2026" s="191"/>
      <c r="E2026" s="94"/>
      <c r="F2026" s="94"/>
      <c r="G2026" s="94"/>
    </row>
    <row r="2027" spans="1:7" x14ac:dyDescent="0.25">
      <c r="A2027" s="89"/>
      <c r="B2027" s="191"/>
      <c r="E2027" s="94"/>
      <c r="F2027" s="94"/>
      <c r="G2027" s="94"/>
    </row>
    <row r="2028" spans="1:7" x14ac:dyDescent="0.25">
      <c r="A2028" s="89"/>
      <c r="B2028" s="191"/>
      <c r="E2028" s="94"/>
      <c r="F2028" s="94"/>
      <c r="G2028" s="94"/>
    </row>
    <row r="2029" spans="1:7" x14ac:dyDescent="0.25">
      <c r="A2029" s="89"/>
      <c r="B2029" s="191"/>
      <c r="E2029" s="94"/>
      <c r="F2029" s="94"/>
      <c r="G2029" s="94"/>
    </row>
    <row r="2030" spans="1:7" x14ac:dyDescent="0.25">
      <c r="A2030" s="89"/>
      <c r="B2030" s="191"/>
      <c r="E2030" s="94"/>
      <c r="F2030" s="94"/>
      <c r="G2030" s="94"/>
    </row>
    <row r="2031" spans="1:7" x14ac:dyDescent="0.25">
      <c r="A2031" s="89"/>
      <c r="B2031" s="191"/>
      <c r="E2031" s="94"/>
      <c r="F2031" s="94"/>
      <c r="G2031" s="94"/>
    </row>
    <row r="2032" spans="1:7" x14ac:dyDescent="0.25">
      <c r="A2032" s="89"/>
      <c r="B2032" s="191"/>
      <c r="E2032" s="94"/>
      <c r="F2032" s="94"/>
      <c r="G2032" s="94"/>
    </row>
    <row r="2033" spans="1:7" x14ac:dyDescent="0.25">
      <c r="A2033" s="89"/>
      <c r="B2033" s="191"/>
      <c r="E2033" s="94"/>
      <c r="F2033" s="94"/>
      <c r="G2033" s="94"/>
    </row>
    <row r="2034" spans="1:7" x14ac:dyDescent="0.25">
      <c r="A2034" s="89"/>
      <c r="B2034" s="191"/>
      <c r="E2034" s="94"/>
      <c r="F2034" s="94"/>
      <c r="G2034" s="94"/>
    </row>
    <row r="2035" spans="1:7" x14ac:dyDescent="0.25">
      <c r="A2035" s="89"/>
      <c r="B2035" s="191"/>
      <c r="E2035" s="94"/>
      <c r="F2035" s="94"/>
      <c r="G2035" s="94"/>
    </row>
    <row r="2036" spans="1:7" x14ac:dyDescent="0.25">
      <c r="A2036" s="89"/>
      <c r="B2036" s="191"/>
      <c r="E2036" s="94"/>
      <c r="F2036" s="94"/>
      <c r="G2036" s="94"/>
    </row>
    <row r="2037" spans="1:7" x14ac:dyDescent="0.25">
      <c r="A2037" s="89"/>
      <c r="B2037" s="191"/>
      <c r="E2037" s="94"/>
      <c r="F2037" s="94"/>
      <c r="G2037" s="94"/>
    </row>
    <row r="2038" spans="1:7" x14ac:dyDescent="0.25">
      <c r="A2038" s="89"/>
      <c r="B2038" s="191"/>
      <c r="E2038" s="94"/>
      <c r="F2038" s="94"/>
      <c r="G2038" s="94"/>
    </row>
    <row r="2039" spans="1:7" x14ac:dyDescent="0.25">
      <c r="A2039" s="89"/>
      <c r="B2039" s="191"/>
      <c r="E2039" s="94"/>
      <c r="F2039" s="94"/>
      <c r="G2039" s="94"/>
    </row>
    <row r="2040" spans="1:7" x14ac:dyDescent="0.25">
      <c r="A2040" s="89"/>
      <c r="B2040" s="191"/>
      <c r="E2040" s="94"/>
      <c r="F2040" s="94"/>
      <c r="G2040" s="94"/>
    </row>
    <row r="2041" spans="1:7" x14ac:dyDescent="0.25">
      <c r="A2041" s="89"/>
      <c r="B2041" s="191"/>
      <c r="E2041" s="94"/>
      <c r="F2041" s="94"/>
      <c r="G2041" s="94"/>
    </row>
    <row r="2042" spans="1:7" x14ac:dyDescent="0.25">
      <c r="A2042" s="89"/>
      <c r="B2042" s="191"/>
      <c r="E2042" s="94"/>
      <c r="F2042" s="94"/>
      <c r="G2042" s="94"/>
    </row>
    <row r="2043" spans="1:7" x14ac:dyDescent="0.25">
      <c r="A2043" s="89"/>
      <c r="B2043" s="191"/>
      <c r="E2043" s="94"/>
      <c r="F2043" s="94"/>
      <c r="G2043" s="94"/>
    </row>
    <row r="2044" spans="1:7" x14ac:dyDescent="0.25">
      <c r="A2044" s="89"/>
      <c r="B2044" s="191"/>
      <c r="E2044" s="94"/>
      <c r="F2044" s="94"/>
      <c r="G2044" s="94"/>
    </row>
    <row r="2045" spans="1:7" x14ac:dyDescent="0.25">
      <c r="A2045" s="89"/>
      <c r="B2045" s="191"/>
      <c r="E2045" s="94"/>
      <c r="F2045" s="94"/>
      <c r="G2045" s="94"/>
    </row>
    <row r="2046" spans="1:7" x14ac:dyDescent="0.25">
      <c r="A2046" s="89"/>
      <c r="B2046" s="191"/>
      <c r="E2046" s="94"/>
      <c r="F2046" s="94"/>
      <c r="G2046" s="94"/>
    </row>
    <row r="2047" spans="1:7" x14ac:dyDescent="0.25">
      <c r="A2047" s="89"/>
      <c r="B2047" s="191"/>
      <c r="E2047" s="94"/>
      <c r="F2047" s="94"/>
      <c r="G2047" s="94"/>
    </row>
    <row r="2048" spans="1:7" x14ac:dyDescent="0.25">
      <c r="A2048" s="89"/>
      <c r="B2048" s="191"/>
      <c r="E2048" s="94"/>
      <c r="F2048" s="94"/>
      <c r="G2048" s="94"/>
    </row>
    <row r="2049" spans="1:7" x14ac:dyDescent="0.25">
      <c r="A2049" s="89"/>
      <c r="B2049" s="191"/>
      <c r="E2049" s="94"/>
      <c r="F2049" s="94"/>
      <c r="G2049" s="94"/>
    </row>
    <row r="2050" spans="1:7" x14ac:dyDescent="0.25">
      <c r="A2050" s="89"/>
      <c r="B2050" s="191"/>
      <c r="E2050" s="94"/>
      <c r="F2050" s="94"/>
      <c r="G2050" s="94"/>
    </row>
    <row r="2051" spans="1:7" x14ac:dyDescent="0.25">
      <c r="A2051" s="89"/>
      <c r="B2051" s="191"/>
      <c r="E2051" s="94"/>
      <c r="F2051" s="94"/>
      <c r="G2051" s="94"/>
    </row>
    <row r="2052" spans="1:7" x14ac:dyDescent="0.25">
      <c r="A2052" s="89"/>
      <c r="B2052" s="191"/>
      <c r="E2052" s="94"/>
      <c r="F2052" s="94"/>
      <c r="G2052" s="94"/>
    </row>
    <row r="2053" spans="1:7" x14ac:dyDescent="0.25">
      <c r="A2053" s="89"/>
      <c r="B2053" s="191"/>
      <c r="E2053" s="94"/>
      <c r="F2053" s="94"/>
      <c r="G2053" s="94"/>
    </row>
    <row r="2054" spans="1:7" x14ac:dyDescent="0.25">
      <c r="A2054" s="89"/>
      <c r="B2054" s="191"/>
      <c r="E2054" s="94"/>
      <c r="F2054" s="94"/>
      <c r="G2054" s="94"/>
    </row>
    <row r="2055" spans="1:7" x14ac:dyDescent="0.25">
      <c r="A2055" s="89"/>
      <c r="B2055" s="191"/>
      <c r="E2055" s="94"/>
      <c r="F2055" s="94"/>
      <c r="G2055" s="94"/>
    </row>
    <row r="2056" spans="1:7" x14ac:dyDescent="0.25">
      <c r="A2056" s="89"/>
      <c r="B2056" s="191"/>
      <c r="E2056" s="94"/>
      <c r="F2056" s="94"/>
      <c r="G2056" s="94"/>
    </row>
    <row r="2057" spans="1:7" x14ac:dyDescent="0.25">
      <c r="A2057" s="89"/>
      <c r="B2057" s="191"/>
      <c r="E2057" s="94"/>
      <c r="F2057" s="94"/>
      <c r="G2057" s="94"/>
    </row>
    <row r="2058" spans="1:7" x14ac:dyDescent="0.25">
      <c r="A2058" s="89"/>
      <c r="B2058" s="191"/>
      <c r="E2058" s="94"/>
      <c r="F2058" s="94"/>
      <c r="G2058" s="94"/>
    </row>
    <row r="2059" spans="1:7" x14ac:dyDescent="0.25">
      <c r="A2059" s="89"/>
      <c r="B2059" s="191"/>
      <c r="E2059" s="94"/>
      <c r="F2059" s="94"/>
      <c r="G2059" s="94"/>
    </row>
    <row r="2060" spans="1:7" x14ac:dyDescent="0.25">
      <c r="A2060" s="89"/>
      <c r="B2060" s="191"/>
      <c r="E2060" s="94"/>
      <c r="F2060" s="94"/>
      <c r="G2060" s="94"/>
    </row>
    <row r="2061" spans="1:7" x14ac:dyDescent="0.25">
      <c r="A2061" s="89"/>
      <c r="B2061" s="191"/>
      <c r="E2061" s="94"/>
      <c r="F2061" s="94"/>
      <c r="G2061" s="94"/>
    </row>
    <row r="2062" spans="1:7" x14ac:dyDescent="0.25">
      <c r="A2062" s="89"/>
      <c r="B2062" s="191"/>
      <c r="E2062" s="94"/>
      <c r="F2062" s="94"/>
      <c r="G2062" s="94"/>
    </row>
    <row r="2063" spans="1:7" x14ac:dyDescent="0.25">
      <c r="A2063" s="89"/>
      <c r="B2063" s="191"/>
      <c r="E2063" s="94"/>
      <c r="F2063" s="94"/>
      <c r="G2063" s="94"/>
    </row>
    <row r="2064" spans="1:7" x14ac:dyDescent="0.25">
      <c r="A2064" s="89"/>
      <c r="B2064" s="191"/>
      <c r="E2064" s="94"/>
      <c r="F2064" s="94"/>
      <c r="G2064" s="94"/>
    </row>
    <row r="2065" spans="1:7" x14ac:dyDescent="0.25">
      <c r="A2065" s="89"/>
      <c r="B2065" s="191"/>
      <c r="E2065" s="94"/>
      <c r="F2065" s="94"/>
      <c r="G2065" s="94"/>
    </row>
    <row r="2066" spans="1:7" x14ac:dyDescent="0.25">
      <c r="A2066" s="89"/>
      <c r="B2066" s="191"/>
      <c r="E2066" s="94"/>
      <c r="F2066" s="94"/>
      <c r="G2066" s="94"/>
    </row>
    <row r="2067" spans="1:7" x14ac:dyDescent="0.25">
      <c r="A2067" s="89"/>
      <c r="B2067" s="191"/>
      <c r="E2067" s="94"/>
      <c r="F2067" s="94"/>
      <c r="G2067" s="94"/>
    </row>
    <row r="2068" spans="1:7" x14ac:dyDescent="0.25">
      <c r="A2068" s="89"/>
      <c r="B2068" s="191"/>
      <c r="E2068" s="94"/>
      <c r="F2068" s="94"/>
      <c r="G2068" s="94"/>
    </row>
    <row r="2069" spans="1:7" x14ac:dyDescent="0.25">
      <c r="A2069" s="89"/>
      <c r="B2069" s="191"/>
      <c r="E2069" s="94"/>
      <c r="F2069" s="94"/>
      <c r="G2069" s="94"/>
    </row>
    <row r="2070" spans="1:7" x14ac:dyDescent="0.25">
      <c r="A2070" s="89"/>
      <c r="B2070" s="191"/>
      <c r="E2070" s="94"/>
      <c r="F2070" s="94"/>
      <c r="G2070" s="94"/>
    </row>
    <row r="2071" spans="1:7" x14ac:dyDescent="0.25">
      <c r="A2071" s="89"/>
      <c r="B2071" s="191"/>
      <c r="E2071" s="94"/>
      <c r="F2071" s="94"/>
      <c r="G2071" s="94"/>
    </row>
    <row r="2072" spans="1:7" x14ac:dyDescent="0.25">
      <c r="A2072" s="89"/>
      <c r="B2072" s="191"/>
      <c r="E2072" s="94"/>
      <c r="F2072" s="94"/>
      <c r="G2072" s="94"/>
    </row>
    <row r="2073" spans="1:7" x14ac:dyDescent="0.25">
      <c r="A2073" s="89"/>
      <c r="B2073" s="191"/>
      <c r="E2073" s="94"/>
      <c r="F2073" s="94"/>
      <c r="G2073" s="94"/>
    </row>
    <row r="2074" spans="1:7" x14ac:dyDescent="0.25">
      <c r="A2074" s="89"/>
      <c r="B2074" s="191"/>
      <c r="E2074" s="94"/>
      <c r="F2074" s="94"/>
      <c r="G2074" s="94"/>
    </row>
    <row r="2075" spans="1:7" x14ac:dyDescent="0.25">
      <c r="A2075" s="89"/>
      <c r="B2075" s="191"/>
      <c r="E2075" s="94"/>
      <c r="F2075" s="94"/>
      <c r="G2075" s="94"/>
    </row>
    <row r="2076" spans="1:7" x14ac:dyDescent="0.25">
      <c r="A2076" s="89"/>
      <c r="B2076" s="191"/>
      <c r="E2076" s="94"/>
      <c r="F2076" s="94"/>
      <c r="G2076" s="94"/>
    </row>
    <row r="2077" spans="1:7" x14ac:dyDescent="0.25">
      <c r="A2077" s="89"/>
      <c r="B2077" s="191"/>
      <c r="E2077" s="94"/>
      <c r="F2077" s="94"/>
      <c r="G2077" s="94"/>
    </row>
    <row r="2078" spans="1:7" x14ac:dyDescent="0.25">
      <c r="A2078" s="89"/>
      <c r="B2078" s="191"/>
      <c r="E2078" s="94"/>
      <c r="F2078" s="94"/>
      <c r="G2078" s="94"/>
    </row>
    <row r="2079" spans="1:7" x14ac:dyDescent="0.25">
      <c r="A2079" s="89"/>
      <c r="B2079" s="191"/>
      <c r="E2079" s="94"/>
      <c r="F2079" s="94"/>
      <c r="G2079" s="94"/>
    </row>
    <row r="2080" spans="1:7" x14ac:dyDescent="0.25">
      <c r="A2080" s="89"/>
      <c r="B2080" s="191"/>
      <c r="E2080" s="94"/>
      <c r="F2080" s="94"/>
      <c r="G2080" s="94"/>
    </row>
    <row r="2081" spans="1:7" x14ac:dyDescent="0.25">
      <c r="A2081" s="89"/>
      <c r="B2081" s="191"/>
      <c r="E2081" s="94"/>
      <c r="F2081" s="94"/>
      <c r="G2081" s="94"/>
    </row>
    <row r="2082" spans="1:7" x14ac:dyDescent="0.25">
      <c r="A2082" s="89"/>
      <c r="B2082" s="191"/>
      <c r="E2082" s="94"/>
      <c r="F2082" s="94"/>
      <c r="G2082" s="94"/>
    </row>
    <row r="2083" spans="1:7" x14ac:dyDescent="0.25">
      <c r="A2083" s="89"/>
      <c r="B2083" s="191"/>
      <c r="E2083" s="94"/>
      <c r="F2083" s="94"/>
      <c r="G2083" s="94"/>
    </row>
    <row r="2084" spans="1:7" x14ac:dyDescent="0.25">
      <c r="A2084" s="89"/>
      <c r="B2084" s="191"/>
      <c r="E2084" s="94"/>
      <c r="F2084" s="94"/>
      <c r="G2084" s="94"/>
    </row>
    <row r="2085" spans="1:7" x14ac:dyDescent="0.25">
      <c r="A2085" s="89"/>
      <c r="B2085" s="191"/>
      <c r="E2085" s="94"/>
      <c r="F2085" s="94"/>
      <c r="G2085" s="94"/>
    </row>
    <row r="2086" spans="1:7" x14ac:dyDescent="0.25">
      <c r="A2086" s="89"/>
      <c r="B2086" s="191"/>
      <c r="E2086" s="94"/>
      <c r="F2086" s="94"/>
      <c r="G2086" s="94"/>
    </row>
    <row r="2087" spans="1:7" x14ac:dyDescent="0.25">
      <c r="A2087" s="89"/>
      <c r="B2087" s="191"/>
      <c r="E2087" s="94"/>
      <c r="F2087" s="94"/>
      <c r="G2087" s="94"/>
    </row>
    <row r="2088" spans="1:7" x14ac:dyDescent="0.25">
      <c r="A2088" s="89"/>
      <c r="B2088" s="191"/>
      <c r="E2088" s="94"/>
      <c r="F2088" s="94"/>
      <c r="G2088" s="94"/>
    </row>
    <row r="2089" spans="1:7" x14ac:dyDescent="0.25">
      <c r="A2089" s="89"/>
      <c r="B2089" s="191"/>
      <c r="E2089" s="94"/>
      <c r="F2089" s="94"/>
      <c r="G2089" s="94"/>
    </row>
    <row r="2090" spans="1:7" x14ac:dyDescent="0.25">
      <c r="A2090" s="89"/>
      <c r="B2090" s="191"/>
      <c r="E2090" s="94"/>
      <c r="F2090" s="94"/>
      <c r="G2090" s="94"/>
    </row>
    <row r="2091" spans="1:7" x14ac:dyDescent="0.25">
      <c r="A2091" s="89"/>
      <c r="B2091" s="191"/>
      <c r="E2091" s="94"/>
      <c r="F2091" s="94"/>
      <c r="G2091" s="94"/>
    </row>
    <row r="2092" spans="1:7" x14ac:dyDescent="0.25">
      <c r="A2092" s="89"/>
      <c r="B2092" s="191"/>
      <c r="E2092" s="94"/>
      <c r="F2092" s="94"/>
      <c r="G2092" s="94"/>
    </row>
    <row r="2093" spans="1:7" x14ac:dyDescent="0.25">
      <c r="A2093" s="89"/>
      <c r="B2093" s="191"/>
      <c r="E2093" s="94"/>
      <c r="F2093" s="94"/>
      <c r="G2093" s="94"/>
    </row>
    <row r="2094" spans="1:7" x14ac:dyDescent="0.25">
      <c r="A2094" s="89"/>
      <c r="B2094" s="191"/>
      <c r="E2094" s="94"/>
      <c r="F2094" s="94"/>
      <c r="G2094" s="94"/>
    </row>
    <row r="2095" spans="1:7" x14ac:dyDescent="0.25">
      <c r="A2095" s="89"/>
      <c r="B2095" s="191"/>
      <c r="E2095" s="94"/>
      <c r="F2095" s="94"/>
      <c r="G2095" s="94"/>
    </row>
    <row r="2096" spans="1:7" x14ac:dyDescent="0.25">
      <c r="A2096" s="89"/>
      <c r="B2096" s="191"/>
      <c r="E2096" s="94"/>
      <c r="F2096" s="94"/>
      <c r="G2096" s="94"/>
    </row>
    <row r="2097" spans="1:7" x14ac:dyDescent="0.25">
      <c r="A2097" s="89"/>
      <c r="B2097" s="191"/>
      <c r="E2097" s="94"/>
      <c r="F2097" s="94"/>
      <c r="G2097" s="94"/>
    </row>
    <row r="2098" spans="1:7" x14ac:dyDescent="0.25">
      <c r="A2098" s="89"/>
      <c r="B2098" s="191"/>
      <c r="E2098" s="94"/>
      <c r="F2098" s="94"/>
      <c r="G2098" s="94"/>
    </row>
    <row r="2099" spans="1:7" x14ac:dyDescent="0.25">
      <c r="A2099" s="89"/>
      <c r="B2099" s="191"/>
      <c r="E2099" s="94"/>
      <c r="F2099" s="94"/>
      <c r="G2099" s="94"/>
    </row>
    <row r="2100" spans="1:7" x14ac:dyDescent="0.25">
      <c r="A2100" s="89"/>
      <c r="B2100" s="191"/>
      <c r="E2100" s="94"/>
      <c r="F2100" s="94"/>
      <c r="G2100" s="94"/>
    </row>
    <row r="2101" spans="1:7" x14ac:dyDescent="0.25">
      <c r="A2101" s="89"/>
      <c r="B2101" s="191"/>
      <c r="E2101" s="94"/>
      <c r="F2101" s="94"/>
      <c r="G2101" s="94"/>
    </row>
    <row r="2102" spans="1:7" x14ac:dyDescent="0.25">
      <c r="A2102" s="89"/>
      <c r="B2102" s="191"/>
      <c r="E2102" s="94"/>
      <c r="F2102" s="94"/>
      <c r="G2102" s="94"/>
    </row>
    <row r="2103" spans="1:7" x14ac:dyDescent="0.25">
      <c r="A2103" s="89"/>
      <c r="B2103" s="191"/>
      <c r="E2103" s="94"/>
      <c r="F2103" s="94"/>
      <c r="G2103" s="94"/>
    </row>
    <row r="2104" spans="1:7" x14ac:dyDescent="0.25">
      <c r="A2104" s="89"/>
      <c r="B2104" s="191"/>
      <c r="E2104" s="94"/>
      <c r="F2104" s="94"/>
      <c r="G2104" s="94"/>
    </row>
    <row r="2105" spans="1:7" x14ac:dyDescent="0.25">
      <c r="A2105" s="89"/>
      <c r="B2105" s="191"/>
      <c r="E2105" s="94"/>
      <c r="F2105" s="94"/>
      <c r="G2105" s="94"/>
    </row>
    <row r="2106" spans="1:7" x14ac:dyDescent="0.25">
      <c r="A2106" s="89"/>
      <c r="B2106" s="191"/>
      <c r="E2106" s="94"/>
      <c r="F2106" s="94"/>
      <c r="G2106" s="94"/>
    </row>
    <row r="2107" spans="1:7" x14ac:dyDescent="0.25">
      <c r="A2107" s="89"/>
      <c r="B2107" s="191"/>
      <c r="E2107" s="94"/>
      <c r="F2107" s="94"/>
      <c r="G2107" s="94"/>
    </row>
    <row r="2108" spans="1:7" x14ac:dyDescent="0.25">
      <c r="A2108" s="89"/>
      <c r="B2108" s="191"/>
      <c r="E2108" s="94"/>
      <c r="F2108" s="94"/>
      <c r="G2108" s="94"/>
    </row>
    <row r="2109" spans="1:7" x14ac:dyDescent="0.25">
      <c r="A2109" s="89"/>
      <c r="B2109" s="191"/>
      <c r="E2109" s="94"/>
      <c r="F2109" s="94"/>
      <c r="G2109" s="94"/>
    </row>
    <row r="2110" spans="1:7" x14ac:dyDescent="0.25">
      <c r="A2110" s="89"/>
      <c r="B2110" s="191"/>
      <c r="E2110" s="94"/>
      <c r="F2110" s="94"/>
      <c r="G2110" s="94"/>
    </row>
    <row r="2111" spans="1:7" x14ac:dyDescent="0.25">
      <c r="A2111" s="89"/>
      <c r="B2111" s="191"/>
      <c r="E2111" s="94"/>
      <c r="F2111" s="94"/>
      <c r="G2111" s="94"/>
    </row>
    <row r="2112" spans="1:7" x14ac:dyDescent="0.25">
      <c r="A2112" s="89"/>
      <c r="B2112" s="191"/>
      <c r="E2112" s="94"/>
      <c r="F2112" s="94"/>
      <c r="G2112" s="94"/>
    </row>
    <row r="2113" spans="1:7" x14ac:dyDescent="0.25">
      <c r="A2113" s="89"/>
      <c r="B2113" s="191"/>
      <c r="E2113" s="94"/>
      <c r="F2113" s="94"/>
      <c r="G2113" s="94"/>
    </row>
    <row r="2114" spans="1:7" x14ac:dyDescent="0.25">
      <c r="A2114" s="89"/>
      <c r="B2114" s="191"/>
      <c r="E2114" s="94"/>
      <c r="F2114" s="94"/>
      <c r="G2114" s="94"/>
    </row>
    <row r="2115" spans="1:7" x14ac:dyDescent="0.25">
      <c r="A2115" s="89"/>
      <c r="B2115" s="191"/>
      <c r="E2115" s="94"/>
      <c r="F2115" s="94"/>
      <c r="G2115" s="94"/>
    </row>
    <row r="2116" spans="1:7" x14ac:dyDescent="0.25">
      <c r="A2116" s="89"/>
      <c r="B2116" s="191"/>
      <c r="E2116" s="94"/>
      <c r="F2116" s="94"/>
      <c r="G2116" s="94"/>
    </row>
    <row r="2117" spans="1:7" x14ac:dyDescent="0.25">
      <c r="A2117" s="89"/>
      <c r="B2117" s="191"/>
      <c r="E2117" s="94"/>
      <c r="F2117" s="94"/>
      <c r="G2117" s="94"/>
    </row>
    <row r="2118" spans="1:7" x14ac:dyDescent="0.25">
      <c r="A2118" s="89"/>
      <c r="B2118" s="191"/>
      <c r="E2118" s="94"/>
      <c r="F2118" s="94"/>
      <c r="G2118" s="94"/>
    </row>
    <row r="2119" spans="1:7" x14ac:dyDescent="0.25">
      <c r="A2119" s="89"/>
      <c r="B2119" s="191"/>
      <c r="E2119" s="94"/>
      <c r="F2119" s="94"/>
      <c r="G2119" s="94"/>
    </row>
    <row r="2120" spans="1:7" x14ac:dyDescent="0.25">
      <c r="A2120" s="89"/>
      <c r="B2120" s="191"/>
      <c r="E2120" s="94"/>
      <c r="F2120" s="94"/>
      <c r="G2120" s="94"/>
    </row>
    <row r="2121" spans="1:7" x14ac:dyDescent="0.25">
      <c r="A2121" s="89"/>
      <c r="B2121" s="191"/>
      <c r="E2121" s="94"/>
      <c r="F2121" s="94"/>
      <c r="G2121" s="94"/>
    </row>
    <row r="2122" spans="1:7" x14ac:dyDescent="0.25">
      <c r="A2122" s="89"/>
      <c r="B2122" s="191"/>
      <c r="E2122" s="94"/>
      <c r="F2122" s="94"/>
      <c r="G2122" s="94"/>
    </row>
    <row r="2123" spans="1:7" x14ac:dyDescent="0.25">
      <c r="A2123" s="89"/>
      <c r="B2123" s="191"/>
      <c r="E2123" s="94"/>
      <c r="F2123" s="94"/>
      <c r="G2123" s="94"/>
    </row>
    <row r="2124" spans="1:7" x14ac:dyDescent="0.25">
      <c r="A2124" s="89"/>
      <c r="B2124" s="191"/>
      <c r="E2124" s="94"/>
      <c r="F2124" s="94"/>
      <c r="G2124" s="94"/>
    </row>
    <row r="2125" spans="1:7" x14ac:dyDescent="0.25">
      <c r="A2125" s="89"/>
      <c r="B2125" s="191"/>
      <c r="E2125" s="94"/>
      <c r="F2125" s="94"/>
      <c r="G2125" s="94"/>
    </row>
    <row r="2126" spans="1:7" x14ac:dyDescent="0.25">
      <c r="A2126" s="89"/>
      <c r="B2126" s="191"/>
      <c r="E2126" s="94"/>
      <c r="F2126" s="94"/>
      <c r="G2126" s="94"/>
    </row>
    <row r="2127" spans="1:7" x14ac:dyDescent="0.25">
      <c r="A2127" s="89"/>
      <c r="B2127" s="191"/>
      <c r="E2127" s="94"/>
      <c r="F2127" s="94"/>
      <c r="G2127" s="94"/>
    </row>
    <row r="2128" spans="1:7" x14ac:dyDescent="0.25">
      <c r="A2128" s="89"/>
      <c r="B2128" s="191"/>
      <c r="E2128" s="94"/>
      <c r="F2128" s="94"/>
      <c r="G2128" s="94"/>
    </row>
    <row r="2129" spans="1:7" x14ac:dyDescent="0.25">
      <c r="A2129" s="89"/>
      <c r="B2129" s="191"/>
      <c r="E2129" s="94"/>
      <c r="F2129" s="94"/>
      <c r="G2129" s="94"/>
    </row>
    <row r="2130" spans="1:7" x14ac:dyDescent="0.25">
      <c r="A2130" s="89"/>
      <c r="B2130" s="191"/>
      <c r="E2130" s="94"/>
      <c r="F2130" s="94"/>
      <c r="G2130" s="94"/>
    </row>
    <row r="2131" spans="1:7" x14ac:dyDescent="0.25">
      <c r="A2131" s="89"/>
      <c r="B2131" s="191"/>
      <c r="E2131" s="94"/>
      <c r="F2131" s="94"/>
      <c r="G2131" s="94"/>
    </row>
    <row r="2132" spans="1:7" x14ac:dyDescent="0.25">
      <c r="A2132" s="89"/>
      <c r="B2132" s="191"/>
      <c r="E2132" s="94"/>
      <c r="F2132" s="94"/>
      <c r="G2132" s="94"/>
    </row>
    <row r="2133" spans="1:7" x14ac:dyDescent="0.25">
      <c r="A2133" s="89"/>
      <c r="B2133" s="191"/>
      <c r="E2133" s="94"/>
      <c r="F2133" s="94"/>
      <c r="G2133" s="94"/>
    </row>
    <row r="2134" spans="1:7" x14ac:dyDescent="0.25">
      <c r="A2134" s="89"/>
      <c r="B2134" s="191"/>
      <c r="E2134" s="94"/>
      <c r="F2134" s="94"/>
      <c r="G2134" s="94"/>
    </row>
    <row r="2135" spans="1:7" x14ac:dyDescent="0.25">
      <c r="A2135" s="89"/>
      <c r="B2135" s="191"/>
      <c r="E2135" s="94"/>
      <c r="F2135" s="94"/>
      <c r="G2135" s="94"/>
    </row>
    <row r="2136" spans="1:7" x14ac:dyDescent="0.25">
      <c r="A2136" s="89"/>
      <c r="B2136" s="191"/>
      <c r="E2136" s="94"/>
      <c r="F2136" s="94"/>
      <c r="G2136" s="94"/>
    </row>
    <row r="2137" spans="1:7" x14ac:dyDescent="0.25">
      <c r="A2137" s="89"/>
      <c r="B2137" s="191"/>
      <c r="E2137" s="94"/>
      <c r="F2137" s="94"/>
      <c r="G2137" s="94"/>
    </row>
    <row r="2138" spans="1:7" x14ac:dyDescent="0.25">
      <c r="A2138" s="89"/>
      <c r="B2138" s="191"/>
      <c r="E2138" s="94"/>
      <c r="F2138" s="94"/>
      <c r="G2138" s="94"/>
    </row>
    <row r="2139" spans="1:7" x14ac:dyDescent="0.25">
      <c r="A2139" s="89"/>
      <c r="B2139" s="191"/>
      <c r="E2139" s="94"/>
      <c r="F2139" s="94"/>
      <c r="G2139" s="94"/>
    </row>
    <row r="2140" spans="1:7" x14ac:dyDescent="0.25">
      <c r="A2140" s="89"/>
      <c r="B2140" s="191"/>
      <c r="E2140" s="94"/>
      <c r="F2140" s="94"/>
      <c r="G2140" s="94"/>
    </row>
    <row r="2141" spans="1:7" x14ac:dyDescent="0.25">
      <c r="A2141" s="89"/>
      <c r="B2141" s="191"/>
      <c r="E2141" s="94"/>
      <c r="F2141" s="94"/>
      <c r="G2141" s="94"/>
    </row>
    <row r="2142" spans="1:7" x14ac:dyDescent="0.25">
      <c r="A2142" s="89"/>
      <c r="B2142" s="191"/>
      <c r="E2142" s="94"/>
      <c r="F2142" s="94"/>
      <c r="G2142" s="94"/>
    </row>
    <row r="2143" spans="1:7" x14ac:dyDescent="0.25">
      <c r="A2143" s="89"/>
      <c r="B2143" s="191"/>
      <c r="E2143" s="94"/>
      <c r="F2143" s="94"/>
      <c r="G2143" s="94"/>
    </row>
    <row r="2144" spans="1:7" x14ac:dyDescent="0.25">
      <c r="A2144" s="89"/>
      <c r="B2144" s="191"/>
      <c r="E2144" s="94"/>
      <c r="F2144" s="94"/>
      <c r="G2144" s="94"/>
    </row>
    <row r="2145" spans="1:7" x14ac:dyDescent="0.25">
      <c r="A2145" s="89"/>
      <c r="B2145" s="191"/>
      <c r="E2145" s="94"/>
      <c r="F2145" s="94"/>
      <c r="G2145" s="94"/>
    </row>
    <row r="2146" spans="1:7" x14ac:dyDescent="0.25">
      <c r="A2146" s="89"/>
      <c r="B2146" s="191"/>
      <c r="E2146" s="94"/>
      <c r="F2146" s="94"/>
      <c r="G2146" s="94"/>
    </row>
    <row r="2147" spans="1:7" x14ac:dyDescent="0.25">
      <c r="A2147" s="89"/>
      <c r="B2147" s="191"/>
      <c r="E2147" s="94"/>
      <c r="F2147" s="94"/>
      <c r="G2147" s="94"/>
    </row>
    <row r="2148" spans="1:7" x14ac:dyDescent="0.25">
      <c r="A2148" s="89"/>
      <c r="B2148" s="191"/>
      <c r="E2148" s="94"/>
      <c r="F2148" s="94"/>
      <c r="G2148" s="94"/>
    </row>
    <row r="2149" spans="1:7" x14ac:dyDescent="0.25">
      <c r="A2149" s="89"/>
      <c r="B2149" s="191"/>
      <c r="E2149" s="94"/>
      <c r="F2149" s="94"/>
      <c r="G2149" s="94"/>
    </row>
    <row r="2150" spans="1:7" x14ac:dyDescent="0.25">
      <c r="A2150" s="89"/>
      <c r="B2150" s="191"/>
      <c r="E2150" s="94"/>
      <c r="F2150" s="94"/>
      <c r="G2150" s="94"/>
    </row>
    <row r="2151" spans="1:7" x14ac:dyDescent="0.25">
      <c r="A2151" s="89"/>
      <c r="B2151" s="191"/>
      <c r="E2151" s="94"/>
      <c r="F2151" s="94"/>
      <c r="G2151" s="94"/>
    </row>
    <row r="2152" spans="1:7" x14ac:dyDescent="0.25">
      <c r="A2152" s="89"/>
      <c r="B2152" s="191"/>
      <c r="E2152" s="94"/>
      <c r="F2152" s="94"/>
      <c r="G2152" s="94"/>
    </row>
    <row r="2153" spans="1:7" x14ac:dyDescent="0.25">
      <c r="A2153" s="89"/>
      <c r="B2153" s="191"/>
      <c r="E2153" s="94"/>
      <c r="F2153" s="94"/>
      <c r="G2153" s="94"/>
    </row>
    <row r="2154" spans="1:7" x14ac:dyDescent="0.25">
      <c r="A2154" s="89"/>
      <c r="B2154" s="191"/>
      <c r="E2154" s="94"/>
      <c r="F2154" s="94"/>
      <c r="G2154" s="94"/>
    </row>
    <row r="2155" spans="1:7" x14ac:dyDescent="0.25">
      <c r="A2155" s="89"/>
      <c r="B2155" s="191"/>
      <c r="E2155" s="94"/>
      <c r="F2155" s="94"/>
      <c r="G2155" s="94"/>
    </row>
    <row r="2156" spans="1:7" x14ac:dyDescent="0.25">
      <c r="A2156" s="89"/>
      <c r="B2156" s="191"/>
      <c r="E2156" s="94"/>
      <c r="F2156" s="94"/>
      <c r="G2156" s="94"/>
    </row>
    <row r="2157" spans="1:7" x14ac:dyDescent="0.25">
      <c r="A2157" s="89"/>
      <c r="B2157" s="191"/>
      <c r="E2157" s="94"/>
      <c r="F2157" s="94"/>
      <c r="G2157" s="94"/>
    </row>
    <row r="2158" spans="1:7" x14ac:dyDescent="0.25">
      <c r="A2158" s="89"/>
      <c r="B2158" s="191"/>
      <c r="E2158" s="94"/>
      <c r="F2158" s="94"/>
      <c r="G2158" s="94"/>
    </row>
    <row r="2159" spans="1:7" x14ac:dyDescent="0.25">
      <c r="A2159" s="89"/>
      <c r="B2159" s="191"/>
      <c r="E2159" s="94"/>
      <c r="F2159" s="94"/>
      <c r="G2159" s="94"/>
    </row>
    <row r="2160" spans="1:7" x14ac:dyDescent="0.25">
      <c r="A2160" s="89"/>
      <c r="B2160" s="191"/>
      <c r="E2160" s="94"/>
      <c r="F2160" s="94"/>
      <c r="G2160" s="94"/>
    </row>
    <row r="2161" spans="1:7" x14ac:dyDescent="0.25">
      <c r="A2161" s="89"/>
      <c r="B2161" s="191"/>
      <c r="E2161" s="94"/>
      <c r="F2161" s="94"/>
      <c r="G2161" s="94"/>
    </row>
    <row r="2162" spans="1:7" x14ac:dyDescent="0.25">
      <c r="A2162" s="89"/>
      <c r="B2162" s="191"/>
      <c r="E2162" s="94"/>
      <c r="F2162" s="94"/>
      <c r="G2162" s="94"/>
    </row>
    <row r="2163" spans="1:7" x14ac:dyDescent="0.25">
      <c r="A2163" s="89"/>
      <c r="B2163" s="191"/>
      <c r="E2163" s="94"/>
      <c r="F2163" s="94"/>
      <c r="G2163" s="94"/>
    </row>
    <row r="2164" spans="1:7" x14ac:dyDescent="0.25">
      <c r="A2164" s="89"/>
      <c r="B2164" s="191"/>
      <c r="E2164" s="94"/>
      <c r="F2164" s="94"/>
      <c r="G2164" s="94"/>
    </row>
    <row r="2165" spans="1:7" x14ac:dyDescent="0.25">
      <c r="A2165" s="89"/>
      <c r="B2165" s="191"/>
      <c r="E2165" s="94"/>
      <c r="F2165" s="94"/>
      <c r="G2165" s="94"/>
    </row>
    <row r="2166" spans="1:7" x14ac:dyDescent="0.25">
      <c r="A2166" s="89"/>
      <c r="B2166" s="191"/>
      <c r="E2166" s="94"/>
      <c r="F2166" s="94"/>
      <c r="G2166" s="94"/>
    </row>
    <row r="2167" spans="1:7" x14ac:dyDescent="0.25">
      <c r="A2167" s="89"/>
      <c r="B2167" s="191"/>
      <c r="E2167" s="94"/>
      <c r="F2167" s="94"/>
      <c r="G2167" s="94"/>
    </row>
    <row r="2168" spans="1:7" x14ac:dyDescent="0.25">
      <c r="A2168" s="89"/>
      <c r="B2168" s="191"/>
      <c r="E2168" s="94"/>
      <c r="F2168" s="94"/>
      <c r="G2168" s="94"/>
    </row>
    <row r="2169" spans="1:7" x14ac:dyDescent="0.25">
      <c r="A2169" s="89"/>
      <c r="B2169" s="191"/>
      <c r="E2169" s="94"/>
      <c r="F2169" s="94"/>
      <c r="G2169" s="94"/>
    </row>
    <row r="2170" spans="1:7" x14ac:dyDescent="0.25">
      <c r="A2170" s="89"/>
      <c r="B2170" s="191"/>
      <c r="E2170" s="94"/>
      <c r="F2170" s="94"/>
      <c r="G2170" s="94"/>
    </row>
    <row r="2171" spans="1:7" x14ac:dyDescent="0.25">
      <c r="A2171" s="89"/>
      <c r="B2171" s="191"/>
      <c r="E2171" s="94"/>
      <c r="F2171" s="94"/>
      <c r="G2171" s="94"/>
    </row>
    <row r="2172" spans="1:7" x14ac:dyDescent="0.25">
      <c r="A2172" s="89"/>
      <c r="B2172" s="191"/>
      <c r="E2172" s="94"/>
      <c r="F2172" s="94"/>
      <c r="G2172" s="94"/>
    </row>
    <row r="2173" spans="1:7" x14ac:dyDescent="0.25">
      <c r="A2173" s="89"/>
      <c r="B2173" s="191"/>
      <c r="E2173" s="94"/>
      <c r="F2173" s="94"/>
      <c r="G2173" s="94"/>
    </row>
    <row r="2174" spans="1:7" x14ac:dyDescent="0.25">
      <c r="A2174" s="89"/>
      <c r="B2174" s="191"/>
      <c r="E2174" s="94"/>
      <c r="F2174" s="94"/>
      <c r="G2174" s="94"/>
    </row>
    <row r="2175" spans="1:7" x14ac:dyDescent="0.25">
      <c r="A2175" s="89"/>
      <c r="B2175" s="191"/>
      <c r="E2175" s="94"/>
      <c r="F2175" s="94"/>
      <c r="G2175" s="94"/>
    </row>
    <row r="2176" spans="1:7" x14ac:dyDescent="0.25">
      <c r="A2176" s="89"/>
      <c r="B2176" s="191"/>
      <c r="E2176" s="94"/>
      <c r="F2176" s="94"/>
      <c r="G2176" s="94"/>
    </row>
    <row r="2177" spans="1:7" x14ac:dyDescent="0.25">
      <c r="A2177" s="89"/>
      <c r="B2177" s="191"/>
      <c r="E2177" s="94"/>
      <c r="F2177" s="94"/>
      <c r="G2177" s="94"/>
    </row>
    <row r="2178" spans="1:7" x14ac:dyDescent="0.25">
      <c r="A2178" s="89"/>
      <c r="B2178" s="191"/>
      <c r="E2178" s="94"/>
      <c r="F2178" s="94"/>
      <c r="G2178" s="94"/>
    </row>
    <row r="2179" spans="1:7" x14ac:dyDescent="0.25">
      <c r="A2179" s="89"/>
      <c r="B2179" s="191"/>
      <c r="E2179" s="94"/>
      <c r="F2179" s="94"/>
      <c r="G2179" s="94"/>
    </row>
    <row r="2180" spans="1:7" x14ac:dyDescent="0.25">
      <c r="A2180" s="89"/>
      <c r="B2180" s="191"/>
      <c r="E2180" s="94"/>
      <c r="F2180" s="94"/>
      <c r="G2180" s="94"/>
    </row>
    <row r="2181" spans="1:7" x14ac:dyDescent="0.25">
      <c r="A2181" s="89"/>
      <c r="B2181" s="191"/>
      <c r="E2181" s="94"/>
      <c r="F2181" s="94"/>
      <c r="G2181" s="94"/>
    </row>
    <row r="2182" spans="1:7" x14ac:dyDescent="0.25">
      <c r="A2182" s="89"/>
      <c r="B2182" s="191"/>
      <c r="E2182" s="94"/>
      <c r="F2182" s="94"/>
      <c r="G2182" s="94"/>
    </row>
    <row r="2183" spans="1:7" x14ac:dyDescent="0.25">
      <c r="A2183" s="89"/>
      <c r="B2183" s="191"/>
      <c r="E2183" s="94"/>
      <c r="F2183" s="94"/>
      <c r="G2183" s="94"/>
    </row>
    <row r="2184" spans="1:7" x14ac:dyDescent="0.25">
      <c r="A2184" s="89"/>
      <c r="B2184" s="191"/>
      <c r="E2184" s="94"/>
      <c r="F2184" s="94"/>
      <c r="G2184" s="94"/>
    </row>
    <row r="2185" spans="1:7" x14ac:dyDescent="0.25">
      <c r="A2185" s="89"/>
      <c r="B2185" s="191"/>
      <c r="E2185" s="94"/>
      <c r="F2185" s="94"/>
      <c r="G2185" s="94"/>
    </row>
    <row r="2186" spans="1:7" x14ac:dyDescent="0.25">
      <c r="A2186" s="89"/>
      <c r="B2186" s="191"/>
      <c r="E2186" s="94"/>
      <c r="F2186" s="94"/>
      <c r="G2186" s="94"/>
    </row>
    <row r="2187" spans="1:7" x14ac:dyDescent="0.25">
      <c r="A2187" s="89"/>
      <c r="B2187" s="191"/>
      <c r="E2187" s="94"/>
      <c r="F2187" s="94"/>
      <c r="G2187" s="94"/>
    </row>
    <row r="2188" spans="1:7" x14ac:dyDescent="0.25">
      <c r="A2188" s="89"/>
      <c r="B2188" s="191"/>
      <c r="E2188" s="94"/>
      <c r="F2188" s="94"/>
      <c r="G2188" s="94"/>
    </row>
    <row r="2189" spans="1:7" x14ac:dyDescent="0.25">
      <c r="A2189" s="89"/>
      <c r="B2189" s="191"/>
      <c r="E2189" s="94"/>
      <c r="F2189" s="94"/>
      <c r="G2189" s="94"/>
    </row>
    <row r="2190" spans="1:7" x14ac:dyDescent="0.25">
      <c r="A2190" s="89"/>
      <c r="B2190" s="191"/>
      <c r="E2190" s="94"/>
      <c r="F2190" s="94"/>
      <c r="G2190" s="94"/>
    </row>
    <row r="2191" spans="1:7" x14ac:dyDescent="0.25">
      <c r="A2191" s="89"/>
      <c r="B2191" s="191"/>
      <c r="E2191" s="94"/>
      <c r="F2191" s="94"/>
      <c r="G2191" s="94"/>
    </row>
    <row r="2192" spans="1:7" x14ac:dyDescent="0.25">
      <c r="A2192" s="89"/>
      <c r="B2192" s="191"/>
      <c r="E2192" s="94"/>
      <c r="F2192" s="94"/>
      <c r="G2192" s="94"/>
    </row>
    <row r="2193" spans="1:7" x14ac:dyDescent="0.25">
      <c r="A2193" s="89"/>
      <c r="B2193" s="191"/>
      <c r="E2193" s="94"/>
      <c r="F2193" s="94"/>
      <c r="G2193" s="94"/>
    </row>
    <row r="2194" spans="1:7" x14ac:dyDescent="0.25">
      <c r="A2194" s="89"/>
      <c r="B2194" s="191"/>
      <c r="E2194" s="94"/>
      <c r="F2194" s="94"/>
      <c r="G2194" s="94"/>
    </row>
    <row r="2195" spans="1:7" x14ac:dyDescent="0.25">
      <c r="A2195" s="89"/>
      <c r="B2195" s="191"/>
      <c r="E2195" s="94"/>
      <c r="F2195" s="94"/>
      <c r="G2195" s="94"/>
    </row>
    <row r="2196" spans="1:7" x14ac:dyDescent="0.25">
      <c r="A2196" s="89"/>
      <c r="B2196" s="191"/>
      <c r="E2196" s="94"/>
      <c r="F2196" s="94"/>
      <c r="G2196" s="94"/>
    </row>
    <row r="2197" spans="1:7" x14ac:dyDescent="0.25">
      <c r="A2197" s="89"/>
      <c r="B2197" s="191"/>
      <c r="E2197" s="94"/>
      <c r="F2197" s="94"/>
      <c r="G2197" s="94"/>
    </row>
    <row r="2198" spans="1:7" x14ac:dyDescent="0.25">
      <c r="A2198" s="89"/>
      <c r="B2198" s="191"/>
      <c r="E2198" s="94"/>
      <c r="F2198" s="94"/>
      <c r="G2198" s="94"/>
    </row>
    <row r="2199" spans="1:7" x14ac:dyDescent="0.25">
      <c r="A2199" s="89"/>
      <c r="B2199" s="191"/>
      <c r="E2199" s="94"/>
      <c r="F2199" s="94"/>
      <c r="G2199" s="94"/>
    </row>
    <row r="2200" spans="1:7" x14ac:dyDescent="0.25">
      <c r="A2200" s="89"/>
      <c r="B2200" s="191"/>
      <c r="E2200" s="94"/>
      <c r="F2200" s="94"/>
      <c r="G2200" s="94"/>
    </row>
    <row r="2201" spans="1:7" x14ac:dyDescent="0.25">
      <c r="A2201" s="89"/>
      <c r="B2201" s="191"/>
      <c r="E2201" s="94"/>
      <c r="F2201" s="94"/>
      <c r="G2201" s="94"/>
    </row>
    <row r="2202" spans="1:7" x14ac:dyDescent="0.25">
      <c r="A2202" s="89"/>
      <c r="B2202" s="191"/>
      <c r="E2202" s="94"/>
      <c r="F2202" s="94"/>
      <c r="G2202" s="94"/>
    </row>
    <row r="2203" spans="1:7" x14ac:dyDescent="0.25">
      <c r="A2203" s="89"/>
      <c r="B2203" s="191"/>
      <c r="E2203" s="94"/>
      <c r="F2203" s="94"/>
      <c r="G2203" s="94"/>
    </row>
    <row r="2204" spans="1:7" x14ac:dyDescent="0.25">
      <c r="A2204" s="89"/>
      <c r="B2204" s="191"/>
      <c r="E2204" s="94"/>
      <c r="F2204" s="94"/>
      <c r="G2204" s="94"/>
    </row>
    <row r="2205" spans="1:7" x14ac:dyDescent="0.25">
      <c r="A2205" s="89"/>
      <c r="B2205" s="191"/>
      <c r="E2205" s="94"/>
      <c r="F2205" s="94"/>
      <c r="G2205" s="94"/>
    </row>
    <row r="2206" spans="1:7" x14ac:dyDescent="0.25">
      <c r="A2206" s="89"/>
      <c r="B2206" s="191"/>
      <c r="E2206" s="94"/>
      <c r="F2206" s="94"/>
      <c r="G2206" s="94"/>
    </row>
    <row r="2207" spans="1:7" x14ac:dyDescent="0.25">
      <c r="A2207" s="89"/>
      <c r="B2207" s="191"/>
      <c r="E2207" s="94"/>
      <c r="F2207" s="94"/>
      <c r="G2207" s="94"/>
    </row>
    <row r="2208" spans="1:7" x14ac:dyDescent="0.25">
      <c r="A2208" s="89"/>
      <c r="B2208" s="191"/>
      <c r="E2208" s="94"/>
      <c r="F2208" s="94"/>
      <c r="G2208" s="94"/>
    </row>
    <row r="2209" spans="1:7" x14ac:dyDescent="0.25">
      <c r="A2209" s="89"/>
      <c r="B2209" s="191"/>
      <c r="E2209" s="94"/>
      <c r="F2209" s="94"/>
      <c r="G2209" s="94"/>
    </row>
    <row r="2210" spans="1:7" x14ac:dyDescent="0.25">
      <c r="A2210" s="89"/>
      <c r="B2210" s="191"/>
      <c r="E2210" s="94"/>
      <c r="F2210" s="94"/>
      <c r="G2210" s="94"/>
    </row>
    <row r="2211" spans="1:7" x14ac:dyDescent="0.25">
      <c r="A2211" s="89"/>
      <c r="B2211" s="191"/>
      <c r="E2211" s="94"/>
      <c r="F2211" s="94"/>
      <c r="G2211" s="94"/>
    </row>
    <row r="2212" spans="1:7" x14ac:dyDescent="0.25">
      <c r="A2212" s="89"/>
      <c r="B2212" s="191"/>
      <c r="E2212" s="94"/>
      <c r="F2212" s="94"/>
      <c r="G2212" s="94"/>
    </row>
    <row r="2213" spans="1:7" x14ac:dyDescent="0.25">
      <c r="A2213" s="89"/>
      <c r="B2213" s="191"/>
      <c r="E2213" s="94"/>
      <c r="F2213" s="94"/>
      <c r="G2213" s="94"/>
    </row>
    <row r="2214" spans="1:7" x14ac:dyDescent="0.25">
      <c r="A2214" s="89"/>
      <c r="B2214" s="191"/>
      <c r="E2214" s="94"/>
      <c r="F2214" s="94"/>
      <c r="G2214" s="94"/>
    </row>
    <row r="2215" spans="1:7" x14ac:dyDescent="0.25">
      <c r="A2215" s="89"/>
      <c r="B2215" s="191"/>
      <c r="E2215" s="94"/>
      <c r="F2215" s="94"/>
      <c r="G2215" s="94"/>
    </row>
    <row r="2216" spans="1:7" x14ac:dyDescent="0.25">
      <c r="A2216" s="89"/>
      <c r="B2216" s="191"/>
      <c r="E2216" s="94"/>
      <c r="F2216" s="94"/>
      <c r="G2216" s="94"/>
    </row>
    <row r="2217" spans="1:7" x14ac:dyDescent="0.25">
      <c r="A2217" s="89"/>
      <c r="B2217" s="191"/>
      <c r="E2217" s="94"/>
      <c r="F2217" s="94"/>
      <c r="G2217" s="94"/>
    </row>
    <row r="2218" spans="1:7" x14ac:dyDescent="0.25">
      <c r="A2218" s="89"/>
      <c r="B2218" s="191"/>
      <c r="E2218" s="94"/>
      <c r="F2218" s="94"/>
      <c r="G2218" s="94"/>
    </row>
    <row r="2219" spans="1:7" x14ac:dyDescent="0.25">
      <c r="A2219" s="89"/>
      <c r="B2219" s="191"/>
      <c r="E2219" s="94"/>
      <c r="F2219" s="94"/>
      <c r="G2219" s="94"/>
    </row>
    <row r="2220" spans="1:7" x14ac:dyDescent="0.25">
      <c r="A2220" s="89"/>
      <c r="B2220" s="191"/>
      <c r="E2220" s="94"/>
      <c r="F2220" s="94"/>
      <c r="G2220" s="94"/>
    </row>
    <row r="2221" spans="1:7" x14ac:dyDescent="0.25">
      <c r="A2221" s="89"/>
      <c r="B2221" s="191"/>
      <c r="E2221" s="94"/>
      <c r="F2221" s="94"/>
      <c r="G2221" s="94"/>
    </row>
    <row r="2222" spans="1:7" x14ac:dyDescent="0.25">
      <c r="A2222" s="89"/>
      <c r="B2222" s="191"/>
      <c r="E2222" s="94"/>
      <c r="F2222" s="94"/>
      <c r="G2222" s="94"/>
    </row>
    <row r="2223" spans="1:7" x14ac:dyDescent="0.25">
      <c r="A2223" s="89"/>
      <c r="B2223" s="191"/>
      <c r="E2223" s="94"/>
      <c r="F2223" s="94"/>
      <c r="G2223" s="94"/>
    </row>
    <row r="2224" spans="1:7" x14ac:dyDescent="0.25">
      <c r="A2224" s="89"/>
      <c r="B2224" s="191"/>
      <c r="E2224" s="94"/>
      <c r="F2224" s="94"/>
      <c r="G2224" s="94"/>
    </row>
    <row r="2225" spans="1:7" x14ac:dyDescent="0.25">
      <c r="A2225" s="89"/>
      <c r="B2225" s="191"/>
      <c r="E2225" s="94"/>
      <c r="F2225" s="94"/>
      <c r="G2225" s="94"/>
    </row>
    <row r="2226" spans="1:7" x14ac:dyDescent="0.25">
      <c r="A2226" s="89"/>
      <c r="B2226" s="191"/>
      <c r="E2226" s="94"/>
      <c r="F2226" s="94"/>
      <c r="G2226" s="94"/>
    </row>
    <row r="2227" spans="1:7" x14ac:dyDescent="0.25">
      <c r="A2227" s="89"/>
      <c r="B2227" s="191"/>
      <c r="E2227" s="94"/>
      <c r="F2227" s="94"/>
      <c r="G2227" s="94"/>
    </row>
    <row r="2228" spans="1:7" x14ac:dyDescent="0.25">
      <c r="A2228" s="89"/>
      <c r="B2228" s="191"/>
      <c r="E2228" s="94"/>
      <c r="F2228" s="94"/>
      <c r="G2228" s="94"/>
    </row>
    <row r="2229" spans="1:7" x14ac:dyDescent="0.25">
      <c r="A2229" s="89"/>
      <c r="B2229" s="191"/>
      <c r="E2229" s="94"/>
      <c r="F2229" s="94"/>
      <c r="G2229" s="94"/>
    </row>
    <row r="2230" spans="1:7" x14ac:dyDescent="0.25">
      <c r="A2230" s="89"/>
      <c r="B2230" s="191"/>
      <c r="E2230" s="94"/>
      <c r="F2230" s="94"/>
      <c r="G2230" s="94"/>
    </row>
    <row r="2231" spans="1:7" x14ac:dyDescent="0.25">
      <c r="A2231" s="89"/>
      <c r="B2231" s="191"/>
      <c r="E2231" s="94"/>
      <c r="F2231" s="94"/>
      <c r="G2231" s="94"/>
    </row>
    <row r="2232" spans="1:7" x14ac:dyDescent="0.25">
      <c r="A2232" s="89"/>
      <c r="B2232" s="191"/>
      <c r="E2232" s="94"/>
      <c r="F2232" s="94"/>
      <c r="G2232" s="94"/>
    </row>
    <row r="2233" spans="1:7" x14ac:dyDescent="0.25">
      <c r="A2233" s="89"/>
      <c r="B2233" s="191"/>
      <c r="E2233" s="94"/>
      <c r="F2233" s="94"/>
      <c r="G2233" s="94"/>
    </row>
    <row r="2234" spans="1:7" x14ac:dyDescent="0.25">
      <c r="A2234" s="89"/>
      <c r="B2234" s="191"/>
      <c r="E2234" s="94"/>
      <c r="F2234" s="94"/>
      <c r="G2234" s="94"/>
    </row>
    <row r="2235" spans="1:7" x14ac:dyDescent="0.25">
      <c r="A2235" s="89"/>
      <c r="B2235" s="191"/>
      <c r="E2235" s="94"/>
      <c r="F2235" s="94"/>
      <c r="G2235" s="94"/>
    </row>
    <row r="2236" spans="1:7" x14ac:dyDescent="0.25">
      <c r="A2236" s="89"/>
      <c r="B2236" s="191"/>
      <c r="E2236" s="94"/>
      <c r="F2236" s="94"/>
      <c r="G2236" s="94"/>
    </row>
    <row r="2237" spans="1:7" x14ac:dyDescent="0.25">
      <c r="A2237" s="89"/>
      <c r="B2237" s="191"/>
      <c r="E2237" s="94"/>
      <c r="F2237" s="94"/>
      <c r="G2237" s="94"/>
    </row>
    <row r="2238" spans="1:7" x14ac:dyDescent="0.25">
      <c r="A2238" s="89"/>
      <c r="B2238" s="191"/>
      <c r="E2238" s="94"/>
      <c r="F2238" s="94"/>
      <c r="G2238" s="94"/>
    </row>
    <row r="2239" spans="1:7" x14ac:dyDescent="0.25">
      <c r="A2239" s="89"/>
      <c r="B2239" s="191"/>
      <c r="E2239" s="94"/>
      <c r="F2239" s="94"/>
      <c r="G2239" s="94"/>
    </row>
    <row r="2240" spans="1:7" x14ac:dyDescent="0.25">
      <c r="A2240" s="89"/>
      <c r="B2240" s="191"/>
      <c r="E2240" s="94"/>
      <c r="F2240" s="94"/>
      <c r="G2240" s="94"/>
    </row>
    <row r="2241" spans="1:7" x14ac:dyDescent="0.25">
      <c r="A2241" s="89"/>
      <c r="B2241" s="191"/>
      <c r="E2241" s="94"/>
      <c r="F2241" s="94"/>
      <c r="G2241" s="94"/>
    </row>
    <row r="2242" spans="1:7" x14ac:dyDescent="0.25">
      <c r="A2242" s="89"/>
      <c r="B2242" s="191"/>
      <c r="E2242" s="94"/>
      <c r="F2242" s="94"/>
      <c r="G2242" s="94"/>
    </row>
    <row r="2243" spans="1:7" x14ac:dyDescent="0.25">
      <c r="A2243" s="89"/>
      <c r="B2243" s="191"/>
      <c r="E2243" s="94"/>
      <c r="F2243" s="94"/>
      <c r="G2243" s="94"/>
    </row>
    <row r="2244" spans="1:7" x14ac:dyDescent="0.25">
      <c r="A2244" s="89"/>
      <c r="B2244" s="191"/>
      <c r="E2244" s="94"/>
      <c r="F2244" s="94"/>
      <c r="G2244" s="94"/>
    </row>
    <row r="2245" spans="1:7" x14ac:dyDescent="0.25">
      <c r="A2245" s="89"/>
      <c r="B2245" s="191"/>
      <c r="E2245" s="94"/>
      <c r="F2245" s="94"/>
      <c r="G2245" s="94"/>
    </row>
    <row r="2246" spans="1:7" x14ac:dyDescent="0.25">
      <c r="A2246" s="89"/>
      <c r="B2246" s="191"/>
      <c r="E2246" s="94"/>
      <c r="F2246" s="94"/>
      <c r="G2246" s="94"/>
    </row>
    <row r="2247" spans="1:7" x14ac:dyDescent="0.25">
      <c r="A2247" s="89"/>
      <c r="B2247" s="191"/>
      <c r="E2247" s="94"/>
      <c r="F2247" s="94"/>
      <c r="G2247" s="94"/>
    </row>
    <row r="2248" spans="1:7" x14ac:dyDescent="0.25">
      <c r="A2248" s="89"/>
      <c r="B2248" s="191"/>
      <c r="E2248" s="94"/>
      <c r="F2248" s="94"/>
      <c r="G2248" s="94"/>
    </row>
    <row r="2249" spans="1:7" x14ac:dyDescent="0.25">
      <c r="A2249" s="89"/>
      <c r="B2249" s="191"/>
      <c r="E2249" s="94"/>
      <c r="F2249" s="94"/>
      <c r="G2249" s="94"/>
    </row>
    <row r="2250" spans="1:7" x14ac:dyDescent="0.25">
      <c r="A2250" s="89"/>
      <c r="B2250" s="191"/>
      <c r="E2250" s="94"/>
      <c r="F2250" s="94"/>
      <c r="G2250" s="94"/>
    </row>
    <row r="2251" spans="1:7" x14ac:dyDescent="0.25">
      <c r="A2251" s="89"/>
      <c r="B2251" s="191"/>
      <c r="E2251" s="94"/>
      <c r="F2251" s="94"/>
      <c r="G2251" s="94"/>
    </row>
    <row r="2252" spans="1:7" x14ac:dyDescent="0.25">
      <c r="A2252" s="89"/>
      <c r="B2252" s="191"/>
      <c r="E2252" s="94"/>
      <c r="F2252" s="94"/>
      <c r="G2252" s="94"/>
    </row>
    <row r="2253" spans="1:7" x14ac:dyDescent="0.25">
      <c r="A2253" s="89"/>
      <c r="B2253" s="191"/>
      <c r="E2253" s="94"/>
      <c r="F2253" s="94"/>
      <c r="G2253" s="94"/>
    </row>
    <row r="2254" spans="1:7" x14ac:dyDescent="0.25">
      <c r="A2254" s="89"/>
      <c r="B2254" s="191"/>
      <c r="E2254" s="94"/>
      <c r="F2254" s="94"/>
      <c r="G2254" s="94"/>
    </row>
    <row r="2255" spans="1:7" x14ac:dyDescent="0.25">
      <c r="A2255" s="89"/>
      <c r="B2255" s="191"/>
      <c r="E2255" s="94"/>
      <c r="F2255" s="94"/>
      <c r="G2255" s="94"/>
    </row>
    <row r="2256" spans="1:7" x14ac:dyDescent="0.25">
      <c r="A2256" s="89"/>
      <c r="B2256" s="191"/>
      <c r="E2256" s="94"/>
      <c r="F2256" s="94"/>
      <c r="G2256" s="94"/>
    </row>
    <row r="2257" spans="1:7" x14ac:dyDescent="0.25">
      <c r="A2257" s="89"/>
      <c r="B2257" s="191"/>
      <c r="E2257" s="94"/>
      <c r="F2257" s="94"/>
      <c r="G2257" s="94"/>
    </row>
    <row r="2258" spans="1:7" x14ac:dyDescent="0.25">
      <c r="A2258" s="89"/>
      <c r="B2258" s="191"/>
      <c r="E2258" s="94"/>
      <c r="F2258" s="94"/>
      <c r="G2258" s="94"/>
    </row>
    <row r="2259" spans="1:7" x14ac:dyDescent="0.25">
      <c r="A2259" s="89"/>
      <c r="B2259" s="191"/>
      <c r="E2259" s="94"/>
      <c r="F2259" s="94"/>
      <c r="G2259" s="94"/>
    </row>
    <row r="2260" spans="1:7" x14ac:dyDescent="0.25">
      <c r="A2260" s="89"/>
      <c r="B2260" s="191"/>
      <c r="E2260" s="94"/>
      <c r="F2260" s="94"/>
      <c r="G2260" s="94"/>
    </row>
    <row r="2261" spans="1:7" x14ac:dyDescent="0.25">
      <c r="A2261" s="89"/>
      <c r="B2261" s="191"/>
      <c r="E2261" s="94"/>
      <c r="F2261" s="94"/>
      <c r="G2261" s="94"/>
    </row>
    <row r="2262" spans="1:7" x14ac:dyDescent="0.25">
      <c r="A2262" s="89"/>
      <c r="B2262" s="191"/>
      <c r="E2262" s="94"/>
      <c r="F2262" s="94"/>
      <c r="G2262" s="94"/>
    </row>
    <row r="2263" spans="1:7" x14ac:dyDescent="0.25">
      <c r="A2263" s="89"/>
      <c r="B2263" s="191"/>
      <c r="E2263" s="94"/>
      <c r="F2263" s="94"/>
      <c r="G2263" s="94"/>
    </row>
    <row r="2264" spans="1:7" x14ac:dyDescent="0.25">
      <c r="A2264" s="89"/>
      <c r="B2264" s="191"/>
      <c r="E2264" s="94"/>
      <c r="F2264" s="94"/>
      <c r="G2264" s="94"/>
    </row>
    <row r="2265" spans="1:7" x14ac:dyDescent="0.25">
      <c r="A2265" s="89"/>
      <c r="B2265" s="191"/>
      <c r="E2265" s="94"/>
      <c r="F2265" s="94"/>
      <c r="G2265" s="94"/>
    </row>
    <row r="2266" spans="1:7" x14ac:dyDescent="0.25">
      <c r="A2266" s="89"/>
      <c r="B2266" s="191"/>
      <c r="E2266" s="94"/>
      <c r="F2266" s="94"/>
      <c r="G2266" s="94"/>
    </row>
    <row r="2267" spans="1:7" x14ac:dyDescent="0.25">
      <c r="A2267" s="89"/>
      <c r="B2267" s="191"/>
      <c r="E2267" s="94"/>
      <c r="F2267" s="94"/>
      <c r="G2267" s="94"/>
    </row>
    <row r="2268" spans="1:7" x14ac:dyDescent="0.25">
      <c r="A2268" s="89"/>
      <c r="B2268" s="191"/>
      <c r="E2268" s="94"/>
      <c r="F2268" s="94"/>
      <c r="G2268" s="94"/>
    </row>
    <row r="2269" spans="1:7" x14ac:dyDescent="0.25">
      <c r="A2269" s="89"/>
      <c r="B2269" s="191"/>
      <c r="E2269" s="94"/>
      <c r="F2269" s="94"/>
      <c r="G2269" s="94"/>
    </row>
    <row r="2270" spans="1:7" x14ac:dyDescent="0.25">
      <c r="A2270" s="89"/>
      <c r="B2270" s="191"/>
      <c r="E2270" s="94"/>
      <c r="F2270" s="94"/>
      <c r="G2270" s="94"/>
    </row>
    <row r="2271" spans="1:7" x14ac:dyDescent="0.25">
      <c r="A2271" s="89"/>
      <c r="B2271" s="191"/>
      <c r="E2271" s="94"/>
      <c r="F2271" s="94"/>
      <c r="G2271" s="94"/>
    </row>
    <row r="2272" spans="1:7" x14ac:dyDescent="0.25">
      <c r="A2272" s="89"/>
      <c r="B2272" s="191"/>
      <c r="E2272" s="94"/>
      <c r="F2272" s="94"/>
      <c r="G2272" s="94"/>
    </row>
    <row r="2273" spans="1:7" x14ac:dyDescent="0.25">
      <c r="A2273" s="89"/>
      <c r="B2273" s="191"/>
      <c r="E2273" s="94"/>
      <c r="F2273" s="94"/>
      <c r="G2273" s="94"/>
    </row>
    <row r="2274" spans="1:7" x14ac:dyDescent="0.25">
      <c r="A2274" s="89"/>
      <c r="B2274" s="191"/>
      <c r="E2274" s="94"/>
      <c r="F2274" s="94"/>
      <c r="G2274" s="94"/>
    </row>
    <row r="2275" spans="1:7" x14ac:dyDescent="0.25">
      <c r="A2275" s="89"/>
      <c r="B2275" s="191"/>
      <c r="E2275" s="94"/>
      <c r="F2275" s="94"/>
      <c r="G2275" s="94"/>
    </row>
    <row r="2276" spans="1:7" x14ac:dyDescent="0.25">
      <c r="A2276" s="89"/>
      <c r="B2276" s="191"/>
      <c r="E2276" s="94"/>
      <c r="F2276" s="94"/>
      <c r="G2276" s="94"/>
    </row>
    <row r="2277" spans="1:7" x14ac:dyDescent="0.25">
      <c r="A2277" s="89"/>
      <c r="B2277" s="191"/>
      <c r="E2277" s="94"/>
      <c r="F2277" s="94"/>
      <c r="G2277" s="94"/>
    </row>
    <row r="2278" spans="1:7" x14ac:dyDescent="0.25">
      <c r="A2278" s="89"/>
      <c r="B2278" s="191"/>
      <c r="E2278" s="94"/>
      <c r="F2278" s="94"/>
      <c r="G2278" s="94"/>
    </row>
    <row r="2279" spans="1:7" x14ac:dyDescent="0.25">
      <c r="A2279" s="89"/>
      <c r="B2279" s="191"/>
      <c r="E2279" s="94"/>
      <c r="F2279" s="94"/>
      <c r="G2279" s="94"/>
    </row>
    <row r="2280" spans="1:7" x14ac:dyDescent="0.25">
      <c r="A2280" s="89"/>
      <c r="B2280" s="191"/>
      <c r="E2280" s="94"/>
      <c r="F2280" s="94"/>
      <c r="G2280" s="94"/>
    </row>
    <row r="2281" spans="1:7" x14ac:dyDescent="0.25">
      <c r="A2281" s="89"/>
      <c r="B2281" s="191"/>
      <c r="E2281" s="94"/>
      <c r="F2281" s="94"/>
      <c r="G2281" s="94"/>
    </row>
    <row r="2282" spans="1:7" x14ac:dyDescent="0.25">
      <c r="A2282" s="89"/>
      <c r="B2282" s="191"/>
      <c r="E2282" s="94"/>
      <c r="F2282" s="94"/>
      <c r="G2282" s="94"/>
    </row>
    <row r="2283" spans="1:7" x14ac:dyDescent="0.25">
      <c r="A2283" s="89"/>
      <c r="B2283" s="191"/>
      <c r="E2283" s="94"/>
      <c r="F2283" s="94"/>
      <c r="G2283" s="94"/>
    </row>
    <row r="2284" spans="1:7" x14ac:dyDescent="0.25">
      <c r="A2284" s="89"/>
      <c r="B2284" s="191"/>
      <c r="E2284" s="94"/>
      <c r="F2284" s="94"/>
      <c r="G2284" s="94"/>
    </row>
    <row r="2285" spans="1:7" x14ac:dyDescent="0.25">
      <c r="A2285" s="89"/>
      <c r="B2285" s="191"/>
      <c r="E2285" s="94"/>
      <c r="F2285" s="94"/>
      <c r="G2285" s="94"/>
    </row>
    <row r="2286" spans="1:7" x14ac:dyDescent="0.25">
      <c r="A2286" s="89"/>
      <c r="B2286" s="191"/>
      <c r="E2286" s="94"/>
      <c r="F2286" s="94"/>
      <c r="G2286" s="94"/>
    </row>
    <row r="2287" spans="1:7" x14ac:dyDescent="0.25">
      <c r="A2287" s="89"/>
      <c r="B2287" s="191"/>
      <c r="E2287" s="94"/>
      <c r="F2287" s="94"/>
      <c r="G2287" s="94"/>
    </row>
    <row r="2288" spans="1:7" x14ac:dyDescent="0.25">
      <c r="A2288" s="89"/>
      <c r="B2288" s="191"/>
      <c r="E2288" s="94"/>
      <c r="F2288" s="94"/>
      <c r="G2288" s="94"/>
    </row>
    <row r="2289" spans="1:7" x14ac:dyDescent="0.25">
      <c r="A2289" s="89"/>
      <c r="B2289" s="191"/>
      <c r="E2289" s="94"/>
      <c r="F2289" s="94"/>
      <c r="G2289" s="94"/>
    </row>
    <row r="2290" spans="1:7" x14ac:dyDescent="0.25">
      <c r="A2290" s="89"/>
      <c r="B2290" s="191"/>
      <c r="E2290" s="94"/>
      <c r="F2290" s="94"/>
      <c r="G2290" s="94"/>
    </row>
    <row r="2291" spans="1:7" x14ac:dyDescent="0.25">
      <c r="A2291" s="89"/>
      <c r="B2291" s="191"/>
      <c r="E2291" s="94"/>
      <c r="F2291" s="94"/>
      <c r="G2291" s="94"/>
    </row>
    <row r="2292" spans="1:7" x14ac:dyDescent="0.25">
      <c r="A2292" s="89"/>
      <c r="B2292" s="191"/>
      <c r="E2292" s="94"/>
      <c r="F2292" s="94"/>
      <c r="G2292" s="94"/>
    </row>
    <row r="2293" spans="1:7" x14ac:dyDescent="0.25">
      <c r="A2293" s="89"/>
      <c r="B2293" s="191"/>
      <c r="E2293" s="94"/>
      <c r="F2293" s="94"/>
      <c r="G2293" s="94"/>
    </row>
    <row r="2294" spans="1:7" x14ac:dyDescent="0.25">
      <c r="A2294" s="89"/>
      <c r="B2294" s="191"/>
      <c r="E2294" s="94"/>
      <c r="F2294" s="94"/>
      <c r="G2294" s="94"/>
    </row>
    <row r="2295" spans="1:7" x14ac:dyDescent="0.25">
      <c r="A2295" s="89"/>
      <c r="B2295" s="191"/>
      <c r="E2295" s="94"/>
      <c r="F2295" s="94"/>
      <c r="G2295" s="94"/>
    </row>
    <row r="2296" spans="1:7" x14ac:dyDescent="0.25">
      <c r="A2296" s="89"/>
      <c r="B2296" s="191"/>
      <c r="E2296" s="94"/>
      <c r="F2296" s="94"/>
      <c r="G2296" s="94"/>
    </row>
    <row r="2297" spans="1:7" x14ac:dyDescent="0.25">
      <c r="A2297" s="89"/>
      <c r="B2297" s="191"/>
      <c r="E2297" s="94"/>
      <c r="F2297" s="94"/>
      <c r="G2297" s="94"/>
    </row>
    <row r="2298" spans="1:7" x14ac:dyDescent="0.25">
      <c r="A2298" s="89"/>
      <c r="B2298" s="191"/>
      <c r="E2298" s="94"/>
      <c r="F2298" s="94"/>
      <c r="G2298" s="94"/>
    </row>
    <row r="2299" spans="1:7" x14ac:dyDescent="0.25">
      <c r="A2299" s="89"/>
      <c r="B2299" s="191"/>
      <c r="E2299" s="94"/>
      <c r="F2299" s="94"/>
      <c r="G2299" s="94"/>
    </row>
    <row r="2300" spans="1:7" x14ac:dyDescent="0.25">
      <c r="A2300" s="89"/>
      <c r="B2300" s="191"/>
      <c r="E2300" s="94"/>
      <c r="F2300" s="94"/>
      <c r="G2300" s="94"/>
    </row>
    <row r="2301" spans="1:7" x14ac:dyDescent="0.25">
      <c r="A2301" s="89"/>
      <c r="B2301" s="191"/>
      <c r="E2301" s="94"/>
      <c r="F2301" s="94"/>
      <c r="G2301" s="94"/>
    </row>
    <row r="2302" spans="1:7" x14ac:dyDescent="0.25">
      <c r="A2302" s="89"/>
      <c r="B2302" s="191"/>
      <c r="E2302" s="94"/>
      <c r="F2302" s="94"/>
      <c r="G2302" s="94"/>
    </row>
    <row r="2303" spans="1:7" x14ac:dyDescent="0.25">
      <c r="A2303" s="89"/>
      <c r="B2303" s="191"/>
      <c r="E2303" s="94"/>
      <c r="F2303" s="94"/>
      <c r="G2303" s="94"/>
    </row>
    <row r="2304" spans="1:7" x14ac:dyDescent="0.25">
      <c r="A2304" s="89"/>
      <c r="B2304" s="191"/>
      <c r="E2304" s="94"/>
      <c r="F2304" s="94"/>
      <c r="G2304" s="94"/>
    </row>
    <row r="2305" spans="1:7" x14ac:dyDescent="0.25">
      <c r="A2305" s="89"/>
      <c r="B2305" s="191"/>
      <c r="E2305" s="94"/>
      <c r="F2305" s="94"/>
      <c r="G2305" s="94"/>
    </row>
    <row r="2306" spans="1:7" x14ac:dyDescent="0.25">
      <c r="A2306" s="89"/>
      <c r="B2306" s="191"/>
      <c r="E2306" s="94"/>
      <c r="F2306" s="94"/>
      <c r="G2306" s="94"/>
    </row>
    <row r="2307" spans="1:7" x14ac:dyDescent="0.25">
      <c r="A2307" s="89"/>
      <c r="B2307" s="191"/>
      <c r="E2307" s="94"/>
      <c r="F2307" s="94"/>
      <c r="G2307" s="94"/>
    </row>
    <row r="2308" spans="1:7" x14ac:dyDescent="0.25">
      <c r="A2308" s="89"/>
      <c r="B2308" s="191"/>
      <c r="E2308" s="94"/>
      <c r="F2308" s="94"/>
      <c r="G2308" s="94"/>
    </row>
    <row r="2309" spans="1:7" x14ac:dyDescent="0.25">
      <c r="A2309" s="89"/>
      <c r="B2309" s="191"/>
      <c r="E2309" s="94"/>
      <c r="F2309" s="94"/>
      <c r="G2309" s="94"/>
    </row>
    <row r="2310" spans="1:7" x14ac:dyDescent="0.25">
      <c r="A2310" s="89"/>
      <c r="B2310" s="191"/>
      <c r="E2310" s="94"/>
      <c r="F2310" s="94"/>
      <c r="G2310" s="94"/>
    </row>
    <row r="2311" spans="1:7" x14ac:dyDescent="0.25">
      <c r="A2311" s="89"/>
      <c r="B2311" s="191"/>
      <c r="E2311" s="94"/>
      <c r="F2311" s="94"/>
      <c r="G2311" s="94"/>
    </row>
    <row r="2312" spans="1:7" x14ac:dyDescent="0.25">
      <c r="A2312" s="89"/>
      <c r="B2312" s="191"/>
      <c r="E2312" s="94"/>
      <c r="F2312" s="94"/>
      <c r="G2312" s="94"/>
    </row>
    <row r="2313" spans="1:7" x14ac:dyDescent="0.25">
      <c r="A2313" s="89"/>
      <c r="B2313" s="191"/>
      <c r="E2313" s="94"/>
      <c r="F2313" s="94"/>
      <c r="G2313" s="94"/>
    </row>
    <row r="2314" spans="1:7" x14ac:dyDescent="0.25">
      <c r="A2314" s="89"/>
      <c r="B2314" s="191"/>
      <c r="E2314" s="94"/>
      <c r="F2314" s="94"/>
      <c r="G2314" s="94"/>
    </row>
    <row r="2315" spans="1:7" x14ac:dyDescent="0.25">
      <c r="A2315" s="89"/>
      <c r="B2315" s="191"/>
      <c r="E2315" s="94"/>
      <c r="F2315" s="94"/>
      <c r="G2315" s="94"/>
    </row>
    <row r="2316" spans="1:7" x14ac:dyDescent="0.25">
      <c r="A2316" s="89"/>
      <c r="B2316" s="191"/>
      <c r="E2316" s="94"/>
      <c r="F2316" s="94"/>
      <c r="G2316" s="94"/>
    </row>
    <row r="2317" spans="1:7" x14ac:dyDescent="0.25">
      <c r="A2317" s="89"/>
      <c r="B2317" s="191"/>
      <c r="E2317" s="94"/>
      <c r="F2317" s="94"/>
      <c r="G2317" s="94"/>
    </row>
    <row r="2318" spans="1:7" x14ac:dyDescent="0.25">
      <c r="A2318" s="89"/>
      <c r="B2318" s="191"/>
      <c r="E2318" s="94"/>
      <c r="F2318" s="94"/>
      <c r="G2318" s="94"/>
    </row>
    <row r="2319" spans="1:7" x14ac:dyDescent="0.25">
      <c r="A2319" s="89"/>
      <c r="B2319" s="191"/>
      <c r="E2319" s="94"/>
      <c r="F2319" s="94"/>
      <c r="G2319" s="94"/>
    </row>
    <row r="2320" spans="1:7" x14ac:dyDescent="0.25">
      <c r="A2320" s="89"/>
      <c r="B2320" s="191"/>
      <c r="E2320" s="94"/>
      <c r="F2320" s="94"/>
      <c r="G2320" s="94"/>
    </row>
    <row r="2321" spans="1:7" x14ac:dyDescent="0.25">
      <c r="A2321" s="89"/>
      <c r="B2321" s="191"/>
      <c r="E2321" s="94"/>
      <c r="F2321" s="94"/>
      <c r="G2321" s="94"/>
    </row>
    <row r="2322" spans="1:7" x14ac:dyDescent="0.25">
      <c r="A2322" s="89"/>
      <c r="B2322" s="191"/>
      <c r="E2322" s="94"/>
      <c r="F2322" s="94"/>
      <c r="G2322" s="94"/>
    </row>
    <row r="2323" spans="1:7" x14ac:dyDescent="0.25">
      <c r="A2323" s="89"/>
      <c r="B2323" s="191"/>
      <c r="E2323" s="94"/>
      <c r="F2323" s="94"/>
      <c r="G2323" s="94"/>
    </row>
    <row r="2324" spans="1:7" x14ac:dyDescent="0.25">
      <c r="A2324" s="89"/>
      <c r="B2324" s="191"/>
      <c r="E2324" s="94"/>
      <c r="F2324" s="94"/>
      <c r="G2324" s="94"/>
    </row>
    <row r="2325" spans="1:7" x14ac:dyDescent="0.25">
      <c r="A2325" s="89"/>
      <c r="B2325" s="191"/>
      <c r="E2325" s="94"/>
      <c r="F2325" s="94"/>
      <c r="G2325" s="94"/>
    </row>
    <row r="2326" spans="1:7" x14ac:dyDescent="0.25">
      <c r="A2326" s="89"/>
      <c r="B2326" s="191"/>
      <c r="E2326" s="94"/>
      <c r="F2326" s="94"/>
      <c r="G2326" s="94"/>
    </row>
    <row r="2327" spans="1:7" x14ac:dyDescent="0.25">
      <c r="A2327" s="89"/>
      <c r="B2327" s="191"/>
      <c r="E2327" s="94"/>
      <c r="F2327" s="94"/>
      <c r="G2327" s="94"/>
    </row>
    <row r="2328" spans="1:7" x14ac:dyDescent="0.25">
      <c r="A2328" s="89"/>
      <c r="B2328" s="191"/>
      <c r="E2328" s="94"/>
      <c r="F2328" s="94"/>
      <c r="G2328" s="94"/>
    </row>
    <row r="2329" spans="1:7" x14ac:dyDescent="0.25">
      <c r="A2329" s="89"/>
      <c r="B2329" s="191"/>
      <c r="E2329" s="94"/>
      <c r="F2329" s="94"/>
      <c r="G2329" s="94"/>
    </row>
    <row r="2330" spans="1:7" x14ac:dyDescent="0.25">
      <c r="A2330" s="89"/>
      <c r="B2330" s="191"/>
      <c r="E2330" s="94"/>
      <c r="F2330" s="94"/>
      <c r="G2330" s="94"/>
    </row>
    <row r="2331" spans="1:7" x14ac:dyDescent="0.25">
      <c r="A2331" s="89"/>
      <c r="B2331" s="191"/>
      <c r="E2331" s="94"/>
      <c r="F2331" s="94"/>
      <c r="G2331" s="94"/>
    </row>
    <row r="2332" spans="1:7" x14ac:dyDescent="0.25">
      <c r="A2332" s="89"/>
      <c r="B2332" s="191"/>
      <c r="E2332" s="94"/>
      <c r="F2332" s="94"/>
      <c r="G2332" s="94"/>
    </row>
    <row r="2333" spans="1:7" x14ac:dyDescent="0.25">
      <c r="A2333" s="89"/>
      <c r="B2333" s="191"/>
      <c r="E2333" s="94"/>
      <c r="F2333" s="94"/>
      <c r="G2333" s="94"/>
    </row>
    <row r="2334" spans="1:7" x14ac:dyDescent="0.25">
      <c r="A2334" s="89"/>
      <c r="B2334" s="191"/>
      <c r="E2334" s="94"/>
      <c r="F2334" s="94"/>
      <c r="G2334" s="94"/>
    </row>
    <row r="2335" spans="1:7" x14ac:dyDescent="0.25">
      <c r="A2335" s="89"/>
      <c r="B2335" s="191"/>
      <c r="E2335" s="94"/>
      <c r="F2335" s="94"/>
      <c r="G2335" s="94"/>
    </row>
    <row r="2336" spans="1:7" x14ac:dyDescent="0.25">
      <c r="A2336" s="89"/>
      <c r="B2336" s="191"/>
      <c r="E2336" s="94"/>
      <c r="F2336" s="94"/>
      <c r="G2336" s="94"/>
    </row>
    <row r="2337" spans="1:7" x14ac:dyDescent="0.25">
      <c r="A2337" s="89"/>
      <c r="B2337" s="191"/>
      <c r="E2337" s="94"/>
      <c r="F2337" s="94"/>
      <c r="G2337" s="94"/>
    </row>
    <row r="2338" spans="1:7" x14ac:dyDescent="0.25">
      <c r="A2338" s="89"/>
      <c r="B2338" s="191"/>
      <c r="E2338" s="94"/>
      <c r="F2338" s="94"/>
      <c r="G2338" s="94"/>
    </row>
    <row r="2339" spans="1:7" x14ac:dyDescent="0.25">
      <c r="A2339" s="89"/>
      <c r="B2339" s="191"/>
      <c r="E2339" s="94"/>
      <c r="F2339" s="94"/>
      <c r="G2339" s="94"/>
    </row>
    <row r="2340" spans="1:7" x14ac:dyDescent="0.25">
      <c r="A2340" s="89"/>
      <c r="B2340" s="191"/>
      <c r="E2340" s="94"/>
      <c r="F2340" s="94"/>
      <c r="G2340" s="94"/>
    </row>
    <row r="2341" spans="1:7" x14ac:dyDescent="0.25">
      <c r="A2341" s="89"/>
      <c r="B2341" s="191"/>
      <c r="E2341" s="94"/>
      <c r="F2341" s="94"/>
      <c r="G2341" s="94"/>
    </row>
    <row r="2342" spans="1:7" x14ac:dyDescent="0.25">
      <c r="A2342" s="89"/>
      <c r="B2342" s="191"/>
      <c r="E2342" s="94"/>
      <c r="F2342" s="94"/>
      <c r="G2342" s="94"/>
    </row>
    <row r="2343" spans="1:7" x14ac:dyDescent="0.25">
      <c r="A2343" s="89"/>
      <c r="B2343" s="191"/>
      <c r="E2343" s="94"/>
      <c r="F2343" s="94"/>
      <c r="G2343" s="94"/>
    </row>
    <row r="2344" spans="1:7" x14ac:dyDescent="0.25">
      <c r="A2344" s="89"/>
      <c r="B2344" s="191"/>
      <c r="E2344" s="94"/>
      <c r="F2344" s="94"/>
      <c r="G2344" s="94"/>
    </row>
    <row r="2345" spans="1:7" x14ac:dyDescent="0.25">
      <c r="A2345" s="89"/>
      <c r="B2345" s="191"/>
      <c r="E2345" s="94"/>
      <c r="F2345" s="94"/>
      <c r="G2345" s="94"/>
    </row>
    <row r="2346" spans="1:7" x14ac:dyDescent="0.25">
      <c r="A2346" s="89"/>
      <c r="B2346" s="191"/>
      <c r="E2346" s="94"/>
      <c r="F2346" s="94"/>
      <c r="G2346" s="94"/>
    </row>
    <row r="2347" spans="1:7" x14ac:dyDescent="0.25">
      <c r="A2347" s="89"/>
      <c r="B2347" s="191"/>
      <c r="E2347" s="94"/>
      <c r="F2347" s="94"/>
      <c r="G2347" s="94"/>
    </row>
    <row r="2348" spans="1:7" x14ac:dyDescent="0.25">
      <c r="A2348" s="89"/>
      <c r="B2348" s="191"/>
      <c r="E2348" s="94"/>
      <c r="F2348" s="94"/>
      <c r="G2348" s="94"/>
    </row>
    <row r="2349" spans="1:7" x14ac:dyDescent="0.25">
      <c r="A2349" s="89"/>
      <c r="B2349" s="191"/>
      <c r="E2349" s="94"/>
      <c r="F2349" s="94"/>
      <c r="G2349" s="94"/>
    </row>
    <row r="2350" spans="1:7" x14ac:dyDescent="0.25">
      <c r="A2350" s="89"/>
      <c r="B2350" s="191"/>
      <c r="E2350" s="94"/>
      <c r="F2350" s="94"/>
      <c r="G2350" s="94"/>
    </row>
    <row r="2351" spans="1:7" x14ac:dyDescent="0.25">
      <c r="A2351" s="89"/>
      <c r="B2351" s="191"/>
      <c r="E2351" s="94"/>
      <c r="F2351" s="94"/>
      <c r="G2351" s="94"/>
    </row>
    <row r="2352" spans="1:7" x14ac:dyDescent="0.25">
      <c r="A2352" s="89"/>
      <c r="B2352" s="191"/>
      <c r="E2352" s="94"/>
      <c r="F2352" s="94"/>
      <c r="G2352" s="94"/>
    </row>
    <row r="2353" spans="1:7" x14ac:dyDescent="0.25">
      <c r="A2353" s="89"/>
      <c r="B2353" s="191"/>
      <c r="E2353" s="94"/>
      <c r="F2353" s="94"/>
      <c r="G2353" s="94"/>
    </row>
    <row r="2354" spans="1:7" x14ac:dyDescent="0.25">
      <c r="A2354" s="89"/>
      <c r="B2354" s="191"/>
      <c r="E2354" s="94"/>
      <c r="F2354" s="94"/>
      <c r="G2354" s="94"/>
    </row>
    <row r="2355" spans="1:7" x14ac:dyDescent="0.25">
      <c r="A2355" s="89"/>
      <c r="B2355" s="191"/>
      <c r="E2355" s="94"/>
      <c r="F2355" s="94"/>
      <c r="G2355" s="94"/>
    </row>
    <row r="2356" spans="1:7" x14ac:dyDescent="0.25">
      <c r="A2356" s="89"/>
      <c r="B2356" s="191"/>
      <c r="E2356" s="94"/>
      <c r="F2356" s="94"/>
      <c r="G2356" s="94"/>
    </row>
    <row r="2357" spans="1:7" x14ac:dyDescent="0.25">
      <c r="A2357" s="89"/>
      <c r="B2357" s="191"/>
      <c r="E2357" s="94"/>
      <c r="F2357" s="94"/>
      <c r="G2357" s="94"/>
    </row>
    <row r="2358" spans="1:7" x14ac:dyDescent="0.25">
      <c r="A2358" s="89"/>
      <c r="B2358" s="191"/>
      <c r="E2358" s="94"/>
      <c r="F2358" s="94"/>
      <c r="G2358" s="94"/>
    </row>
    <row r="2359" spans="1:7" x14ac:dyDescent="0.25">
      <c r="A2359" s="89"/>
      <c r="B2359" s="191"/>
      <c r="E2359" s="94"/>
      <c r="F2359" s="94"/>
      <c r="G2359" s="94"/>
    </row>
    <row r="2360" spans="1:7" x14ac:dyDescent="0.25">
      <c r="A2360" s="89"/>
      <c r="B2360" s="191"/>
      <c r="E2360" s="94"/>
      <c r="F2360" s="94"/>
      <c r="G2360" s="94"/>
    </row>
    <row r="2361" spans="1:7" x14ac:dyDescent="0.25">
      <c r="A2361" s="89"/>
      <c r="B2361" s="191"/>
      <c r="E2361" s="94"/>
      <c r="F2361" s="94"/>
      <c r="G2361" s="94"/>
    </row>
    <row r="2362" spans="1:7" x14ac:dyDescent="0.25">
      <c r="A2362" s="89"/>
      <c r="B2362" s="191"/>
      <c r="E2362" s="94"/>
      <c r="F2362" s="94"/>
      <c r="G2362" s="94"/>
    </row>
    <row r="2363" spans="1:7" x14ac:dyDescent="0.25">
      <c r="A2363" s="89"/>
      <c r="B2363" s="191"/>
      <c r="E2363" s="94"/>
      <c r="F2363" s="94"/>
      <c r="G2363" s="94"/>
    </row>
    <row r="2364" spans="1:7" x14ac:dyDescent="0.25">
      <c r="A2364" s="89"/>
      <c r="B2364" s="191"/>
      <c r="E2364" s="94"/>
      <c r="F2364" s="94"/>
      <c r="G2364" s="94"/>
    </row>
    <row r="2365" spans="1:7" x14ac:dyDescent="0.25">
      <c r="A2365" s="89"/>
      <c r="B2365" s="191"/>
      <c r="E2365" s="94"/>
      <c r="F2365" s="94"/>
      <c r="G2365" s="94"/>
    </row>
    <row r="2366" spans="1:7" x14ac:dyDescent="0.25">
      <c r="A2366" s="89"/>
      <c r="B2366" s="191"/>
      <c r="E2366" s="94"/>
      <c r="F2366" s="94"/>
      <c r="G2366" s="94"/>
    </row>
    <row r="2367" spans="1:7" x14ac:dyDescent="0.25">
      <c r="A2367" s="89"/>
      <c r="B2367" s="191"/>
      <c r="E2367" s="94"/>
      <c r="F2367" s="94"/>
      <c r="G2367" s="94"/>
    </row>
    <row r="2368" spans="1:7" x14ac:dyDescent="0.25">
      <c r="A2368" s="89"/>
      <c r="B2368" s="191"/>
      <c r="E2368" s="94"/>
      <c r="F2368" s="94"/>
      <c r="G2368" s="94"/>
    </row>
    <row r="2369" spans="1:7" x14ac:dyDescent="0.25">
      <c r="A2369" s="89"/>
      <c r="B2369" s="191"/>
      <c r="E2369" s="94"/>
      <c r="F2369" s="94"/>
      <c r="G2369" s="94"/>
    </row>
    <row r="2370" spans="1:7" x14ac:dyDescent="0.25">
      <c r="A2370" s="89"/>
      <c r="B2370" s="191"/>
      <c r="E2370" s="94"/>
      <c r="F2370" s="94"/>
      <c r="G2370" s="94"/>
    </row>
    <row r="2371" spans="1:7" x14ac:dyDescent="0.25">
      <c r="A2371" s="89"/>
      <c r="B2371" s="191"/>
      <c r="E2371" s="94"/>
      <c r="F2371" s="94"/>
      <c r="G2371" s="94"/>
    </row>
    <row r="2372" spans="1:7" x14ac:dyDescent="0.25">
      <c r="A2372" s="89"/>
      <c r="B2372" s="191"/>
      <c r="E2372" s="94"/>
      <c r="F2372" s="94"/>
      <c r="G2372" s="94"/>
    </row>
    <row r="2373" spans="1:7" x14ac:dyDescent="0.25">
      <c r="A2373" s="89"/>
      <c r="B2373" s="191"/>
      <c r="E2373" s="94"/>
      <c r="F2373" s="94"/>
      <c r="G2373" s="94"/>
    </row>
    <row r="2374" spans="1:7" x14ac:dyDescent="0.25">
      <c r="A2374" s="89"/>
      <c r="B2374" s="191"/>
      <c r="E2374" s="94"/>
      <c r="F2374" s="94"/>
      <c r="G2374" s="94"/>
    </row>
    <row r="2375" spans="1:7" x14ac:dyDescent="0.25">
      <c r="A2375" s="89"/>
      <c r="B2375" s="191"/>
      <c r="E2375" s="94"/>
      <c r="F2375" s="94"/>
      <c r="G2375" s="94"/>
    </row>
    <row r="2376" spans="1:7" x14ac:dyDescent="0.25">
      <c r="A2376" s="89"/>
      <c r="B2376" s="191"/>
      <c r="E2376" s="94"/>
      <c r="F2376" s="94"/>
      <c r="G2376" s="94"/>
    </row>
    <row r="2377" spans="1:7" x14ac:dyDescent="0.25">
      <c r="A2377" s="89"/>
      <c r="B2377" s="191"/>
      <c r="E2377" s="94"/>
      <c r="F2377" s="94"/>
      <c r="G2377" s="94"/>
    </row>
    <row r="2378" spans="1:7" x14ac:dyDescent="0.25">
      <c r="A2378" s="89"/>
      <c r="B2378" s="191"/>
      <c r="E2378" s="94"/>
      <c r="F2378" s="94"/>
      <c r="G2378" s="94"/>
    </row>
    <row r="2379" spans="1:7" x14ac:dyDescent="0.25">
      <c r="A2379" s="89"/>
      <c r="B2379" s="191"/>
      <c r="E2379" s="94"/>
      <c r="F2379" s="94"/>
      <c r="G2379" s="94"/>
    </row>
    <row r="2380" spans="1:7" x14ac:dyDescent="0.25">
      <c r="A2380" s="89"/>
      <c r="B2380" s="191"/>
      <c r="E2380" s="94"/>
      <c r="F2380" s="94"/>
      <c r="G2380" s="94"/>
    </row>
    <row r="2381" spans="1:7" x14ac:dyDescent="0.25">
      <c r="A2381" s="89"/>
      <c r="B2381" s="191"/>
      <c r="E2381" s="94"/>
      <c r="F2381" s="94"/>
      <c r="G2381" s="94"/>
    </row>
    <row r="2382" spans="1:7" x14ac:dyDescent="0.25">
      <c r="A2382" s="89"/>
      <c r="B2382" s="191"/>
      <c r="E2382" s="94"/>
      <c r="F2382" s="94"/>
      <c r="G2382" s="94"/>
    </row>
    <row r="2383" spans="1:7" x14ac:dyDescent="0.25">
      <c r="A2383" s="89"/>
      <c r="B2383" s="191"/>
      <c r="E2383" s="94"/>
      <c r="F2383" s="94"/>
      <c r="G2383" s="94"/>
    </row>
    <row r="2384" spans="1:7" x14ac:dyDescent="0.25">
      <c r="A2384" s="89"/>
      <c r="B2384" s="191"/>
      <c r="E2384" s="94"/>
      <c r="F2384" s="94"/>
      <c r="G2384" s="94"/>
    </row>
    <row r="2385" spans="1:7" x14ac:dyDescent="0.25">
      <c r="A2385" s="89"/>
      <c r="B2385" s="191"/>
      <c r="E2385" s="94"/>
      <c r="F2385" s="94"/>
      <c r="G2385" s="94"/>
    </row>
    <row r="2386" spans="1:7" x14ac:dyDescent="0.25">
      <c r="A2386" s="89"/>
      <c r="B2386" s="191"/>
      <c r="E2386" s="94"/>
      <c r="F2386" s="94"/>
      <c r="G2386" s="94"/>
    </row>
    <row r="2387" spans="1:7" x14ac:dyDescent="0.25">
      <c r="A2387" s="89"/>
      <c r="B2387" s="191"/>
      <c r="E2387" s="94"/>
      <c r="F2387" s="94"/>
      <c r="G2387" s="94"/>
    </row>
    <row r="2388" spans="1:7" x14ac:dyDescent="0.25">
      <c r="A2388" s="89"/>
      <c r="B2388" s="191"/>
      <c r="E2388" s="94"/>
      <c r="F2388" s="94"/>
      <c r="G2388" s="94"/>
    </row>
    <row r="2389" spans="1:7" x14ac:dyDescent="0.25">
      <c r="A2389" s="89"/>
      <c r="B2389" s="191"/>
      <c r="E2389" s="94"/>
      <c r="F2389" s="94"/>
      <c r="G2389" s="94"/>
    </row>
    <row r="2390" spans="1:7" x14ac:dyDescent="0.25">
      <c r="A2390" s="89"/>
      <c r="B2390" s="191"/>
      <c r="E2390" s="94"/>
      <c r="F2390" s="94"/>
      <c r="G2390" s="94"/>
    </row>
    <row r="2391" spans="1:7" x14ac:dyDescent="0.25">
      <c r="A2391" s="89"/>
      <c r="B2391" s="191"/>
      <c r="E2391" s="94"/>
      <c r="F2391" s="94"/>
      <c r="G2391" s="94"/>
    </row>
    <row r="2392" spans="1:7" x14ac:dyDescent="0.25">
      <c r="A2392" s="89"/>
      <c r="B2392" s="191"/>
      <c r="E2392" s="94"/>
      <c r="F2392" s="94"/>
      <c r="G2392" s="94"/>
    </row>
    <row r="2393" spans="1:7" x14ac:dyDescent="0.25">
      <c r="A2393" s="89"/>
      <c r="B2393" s="191"/>
      <c r="E2393" s="94"/>
      <c r="F2393" s="94"/>
      <c r="G2393" s="94"/>
    </row>
    <row r="2394" spans="1:7" x14ac:dyDescent="0.25">
      <c r="A2394" s="89"/>
      <c r="B2394" s="191"/>
      <c r="E2394" s="94"/>
      <c r="F2394" s="94"/>
      <c r="G2394" s="94"/>
    </row>
    <row r="2395" spans="1:7" x14ac:dyDescent="0.25">
      <c r="A2395" s="89"/>
      <c r="B2395" s="191"/>
      <c r="E2395" s="94"/>
      <c r="F2395" s="94"/>
      <c r="G2395" s="94"/>
    </row>
    <row r="2396" spans="1:7" x14ac:dyDescent="0.25">
      <c r="A2396" s="89"/>
      <c r="B2396" s="191"/>
      <c r="E2396" s="94"/>
      <c r="F2396" s="94"/>
      <c r="G2396" s="94"/>
    </row>
    <row r="2397" spans="1:7" x14ac:dyDescent="0.25">
      <c r="A2397" s="89"/>
      <c r="B2397" s="191"/>
      <c r="E2397" s="94"/>
      <c r="F2397" s="94"/>
      <c r="G2397" s="94"/>
    </row>
    <row r="2398" spans="1:7" x14ac:dyDescent="0.25">
      <c r="A2398" s="89"/>
      <c r="B2398" s="191"/>
      <c r="E2398" s="94"/>
      <c r="F2398" s="94"/>
      <c r="G2398" s="94"/>
    </row>
    <row r="2399" spans="1:7" x14ac:dyDescent="0.25">
      <c r="A2399" s="89"/>
      <c r="B2399" s="191"/>
      <c r="E2399" s="94"/>
      <c r="F2399" s="94"/>
      <c r="G2399" s="94"/>
    </row>
    <row r="2400" spans="1:7" x14ac:dyDescent="0.25">
      <c r="A2400" s="89"/>
      <c r="B2400" s="191"/>
      <c r="E2400" s="94"/>
      <c r="F2400" s="94"/>
      <c r="G2400" s="94"/>
    </row>
    <row r="2401" spans="1:7" x14ac:dyDescent="0.25">
      <c r="A2401" s="89"/>
      <c r="B2401" s="191"/>
      <c r="E2401" s="94"/>
      <c r="F2401" s="94"/>
      <c r="G2401" s="94"/>
    </row>
    <row r="2402" spans="1:7" x14ac:dyDescent="0.25">
      <c r="A2402" s="89"/>
      <c r="B2402" s="191"/>
      <c r="E2402" s="94"/>
      <c r="F2402" s="94"/>
      <c r="G2402" s="94"/>
    </row>
    <row r="2403" spans="1:7" x14ac:dyDescent="0.25">
      <c r="A2403" s="89"/>
      <c r="B2403" s="191"/>
      <c r="E2403" s="94"/>
      <c r="F2403" s="94"/>
      <c r="G2403" s="94"/>
    </row>
    <row r="2404" spans="1:7" x14ac:dyDescent="0.25">
      <c r="A2404" s="89"/>
      <c r="B2404" s="191"/>
      <c r="E2404" s="94"/>
      <c r="F2404" s="94"/>
      <c r="G2404" s="94"/>
    </row>
    <row r="2405" spans="1:7" x14ac:dyDescent="0.25">
      <c r="A2405" s="89"/>
      <c r="B2405" s="191"/>
      <c r="E2405" s="94"/>
      <c r="F2405" s="94"/>
      <c r="G2405" s="94"/>
    </row>
    <row r="2406" spans="1:7" x14ac:dyDescent="0.25">
      <c r="A2406" s="89"/>
      <c r="B2406" s="191"/>
      <c r="E2406" s="94"/>
      <c r="F2406" s="94"/>
      <c r="G2406" s="94"/>
    </row>
    <row r="2407" spans="1:7" x14ac:dyDescent="0.25">
      <c r="A2407" s="89"/>
      <c r="B2407" s="191"/>
      <c r="E2407" s="94"/>
      <c r="F2407" s="94"/>
      <c r="G2407" s="94"/>
    </row>
    <row r="2408" spans="1:7" x14ac:dyDescent="0.25">
      <c r="A2408" s="89"/>
      <c r="B2408" s="191"/>
      <c r="E2408" s="94"/>
      <c r="F2408" s="94"/>
      <c r="G2408" s="94"/>
    </row>
    <row r="2409" spans="1:7" x14ac:dyDescent="0.25">
      <c r="A2409" s="89"/>
      <c r="B2409" s="191"/>
      <c r="E2409" s="94"/>
      <c r="F2409" s="94"/>
      <c r="G2409" s="94"/>
    </row>
    <row r="2410" spans="1:7" x14ac:dyDescent="0.25">
      <c r="A2410" s="89"/>
      <c r="B2410" s="191"/>
      <c r="E2410" s="94"/>
      <c r="F2410" s="94"/>
      <c r="G2410" s="94"/>
    </row>
    <row r="2411" spans="1:7" x14ac:dyDescent="0.25">
      <c r="A2411" s="89"/>
      <c r="B2411" s="191"/>
      <c r="E2411" s="94"/>
      <c r="F2411" s="94"/>
      <c r="G2411" s="94"/>
    </row>
    <row r="2412" spans="1:7" x14ac:dyDescent="0.25">
      <c r="A2412" s="89"/>
      <c r="B2412" s="191"/>
      <c r="E2412" s="94"/>
      <c r="F2412" s="94"/>
      <c r="G2412" s="94"/>
    </row>
    <row r="2413" spans="1:7" x14ac:dyDescent="0.25">
      <c r="A2413" s="89"/>
      <c r="B2413" s="191"/>
      <c r="E2413" s="94"/>
      <c r="F2413" s="94"/>
      <c r="G2413" s="94"/>
    </row>
    <row r="2414" spans="1:7" x14ac:dyDescent="0.25">
      <c r="A2414" s="89"/>
      <c r="B2414" s="191"/>
      <c r="E2414" s="94"/>
      <c r="F2414" s="94"/>
      <c r="G2414" s="94"/>
    </row>
    <row r="2415" spans="1:7" x14ac:dyDescent="0.25">
      <c r="A2415" s="89"/>
      <c r="B2415" s="191"/>
      <c r="E2415" s="94"/>
      <c r="F2415" s="94"/>
      <c r="G2415" s="94"/>
    </row>
    <row r="2416" spans="1:7" x14ac:dyDescent="0.25">
      <c r="A2416" s="89"/>
      <c r="B2416" s="191"/>
      <c r="E2416" s="94"/>
      <c r="F2416" s="94"/>
      <c r="G2416" s="94"/>
    </row>
    <row r="2417" spans="1:7" x14ac:dyDescent="0.25">
      <c r="A2417" s="89"/>
      <c r="B2417" s="191"/>
      <c r="E2417" s="94"/>
      <c r="F2417" s="94"/>
      <c r="G2417" s="94"/>
    </row>
    <row r="2418" spans="1:7" x14ac:dyDescent="0.25">
      <c r="A2418" s="89"/>
      <c r="B2418" s="191"/>
      <c r="E2418" s="94"/>
      <c r="F2418" s="94"/>
      <c r="G2418" s="94"/>
    </row>
    <row r="2419" spans="1:7" x14ac:dyDescent="0.25">
      <c r="A2419" s="89"/>
      <c r="B2419" s="191"/>
      <c r="E2419" s="94"/>
      <c r="F2419" s="94"/>
      <c r="G2419" s="94"/>
    </row>
    <row r="2420" spans="1:7" x14ac:dyDescent="0.25">
      <c r="A2420" s="89"/>
      <c r="B2420" s="191"/>
      <c r="E2420" s="94"/>
      <c r="F2420" s="94"/>
      <c r="G2420" s="94"/>
    </row>
    <row r="2421" spans="1:7" x14ac:dyDescent="0.25">
      <c r="A2421" s="89"/>
      <c r="B2421" s="191"/>
      <c r="E2421" s="94"/>
      <c r="F2421" s="94"/>
      <c r="G2421" s="94"/>
    </row>
    <row r="2422" spans="1:7" x14ac:dyDescent="0.25">
      <c r="A2422" s="89"/>
      <c r="B2422" s="191"/>
      <c r="E2422" s="94"/>
      <c r="F2422" s="94"/>
      <c r="G2422" s="94"/>
    </row>
    <row r="2423" spans="1:7" x14ac:dyDescent="0.25">
      <c r="A2423" s="89"/>
      <c r="B2423" s="191"/>
      <c r="E2423" s="94"/>
      <c r="F2423" s="94"/>
      <c r="G2423" s="94"/>
    </row>
    <row r="2424" spans="1:7" x14ac:dyDescent="0.25">
      <c r="A2424" s="89"/>
      <c r="B2424" s="191"/>
      <c r="E2424" s="94"/>
      <c r="F2424" s="94"/>
      <c r="G2424" s="94"/>
    </row>
    <row r="2425" spans="1:7" x14ac:dyDescent="0.25">
      <c r="A2425" s="89"/>
      <c r="B2425" s="191"/>
      <c r="E2425" s="94"/>
      <c r="F2425" s="94"/>
      <c r="G2425" s="94"/>
    </row>
    <row r="2426" spans="1:7" x14ac:dyDescent="0.25">
      <c r="A2426" s="89"/>
      <c r="B2426" s="191"/>
      <c r="E2426" s="94"/>
      <c r="F2426" s="94"/>
      <c r="G2426" s="94"/>
    </row>
    <row r="2427" spans="1:7" x14ac:dyDescent="0.25">
      <c r="A2427" s="89"/>
      <c r="B2427" s="191"/>
      <c r="E2427" s="94"/>
      <c r="F2427" s="94"/>
      <c r="G2427" s="94"/>
    </row>
    <row r="2428" spans="1:7" x14ac:dyDescent="0.25">
      <c r="A2428" s="89"/>
      <c r="B2428" s="191"/>
      <c r="E2428" s="94"/>
      <c r="F2428" s="94"/>
      <c r="G2428" s="94"/>
    </row>
    <row r="2429" spans="1:7" x14ac:dyDescent="0.25">
      <c r="A2429" s="89"/>
      <c r="B2429" s="191"/>
      <c r="E2429" s="94"/>
      <c r="F2429" s="94"/>
      <c r="G2429" s="94"/>
    </row>
    <row r="2430" spans="1:7" x14ac:dyDescent="0.25">
      <c r="A2430" s="89"/>
      <c r="B2430" s="191"/>
      <c r="E2430" s="94"/>
      <c r="F2430" s="94"/>
      <c r="G2430" s="94"/>
    </row>
    <row r="2431" spans="1:7" x14ac:dyDescent="0.25">
      <c r="A2431" s="89"/>
      <c r="B2431" s="191"/>
      <c r="E2431" s="94"/>
      <c r="F2431" s="94"/>
      <c r="G2431" s="94"/>
    </row>
    <row r="2432" spans="1:7" x14ac:dyDescent="0.25">
      <c r="A2432" s="89"/>
      <c r="B2432" s="191"/>
      <c r="E2432" s="94"/>
      <c r="F2432" s="94"/>
      <c r="G2432" s="94"/>
    </row>
    <row r="2433" spans="1:7" x14ac:dyDescent="0.25">
      <c r="A2433" s="89"/>
      <c r="B2433" s="191"/>
      <c r="E2433" s="94"/>
      <c r="F2433" s="94"/>
      <c r="G2433" s="94"/>
    </row>
    <row r="2434" spans="1:7" x14ac:dyDescent="0.25">
      <c r="A2434" s="89"/>
      <c r="B2434" s="191"/>
      <c r="E2434" s="94"/>
      <c r="F2434" s="94"/>
      <c r="G2434" s="94"/>
    </row>
    <row r="2435" spans="1:7" x14ac:dyDescent="0.25">
      <c r="A2435" s="89"/>
      <c r="B2435" s="191"/>
      <c r="E2435" s="94"/>
      <c r="F2435" s="94"/>
      <c r="G2435" s="94"/>
    </row>
    <row r="2436" spans="1:7" x14ac:dyDescent="0.25">
      <c r="A2436" s="89"/>
      <c r="B2436" s="191"/>
      <c r="E2436" s="94"/>
      <c r="F2436" s="94"/>
      <c r="G2436" s="94"/>
    </row>
    <row r="2437" spans="1:7" x14ac:dyDescent="0.25">
      <c r="A2437" s="89"/>
      <c r="B2437" s="191"/>
      <c r="E2437" s="94"/>
      <c r="F2437" s="94"/>
      <c r="G2437" s="94"/>
    </row>
    <row r="2438" spans="1:7" x14ac:dyDescent="0.25">
      <c r="A2438" s="89"/>
      <c r="B2438" s="191"/>
      <c r="E2438" s="94"/>
      <c r="F2438" s="94"/>
      <c r="G2438" s="94"/>
    </row>
    <row r="2439" spans="1:7" x14ac:dyDescent="0.25">
      <c r="A2439" s="89"/>
      <c r="B2439" s="191"/>
      <c r="E2439" s="94"/>
      <c r="F2439" s="94"/>
      <c r="G2439" s="94"/>
    </row>
    <row r="2440" spans="1:7" x14ac:dyDescent="0.25">
      <c r="A2440" s="89"/>
      <c r="B2440" s="191"/>
      <c r="E2440" s="94"/>
      <c r="F2440" s="94"/>
      <c r="G2440" s="94"/>
    </row>
    <row r="2441" spans="1:7" x14ac:dyDescent="0.25">
      <c r="A2441" s="89"/>
      <c r="B2441" s="191"/>
      <c r="E2441" s="94"/>
      <c r="F2441" s="94"/>
      <c r="G2441" s="94"/>
    </row>
    <row r="2442" spans="1:7" x14ac:dyDescent="0.25">
      <c r="A2442" s="89"/>
      <c r="B2442" s="191"/>
      <c r="E2442" s="94"/>
      <c r="F2442" s="94"/>
      <c r="G2442" s="94"/>
    </row>
    <row r="2443" spans="1:7" x14ac:dyDescent="0.25">
      <c r="A2443" s="89"/>
      <c r="B2443" s="191"/>
      <c r="E2443" s="94"/>
      <c r="F2443" s="94"/>
      <c r="G2443" s="94"/>
    </row>
    <row r="2444" spans="1:7" x14ac:dyDescent="0.25">
      <c r="A2444" s="89"/>
      <c r="B2444" s="191"/>
      <c r="E2444" s="94"/>
      <c r="F2444" s="94"/>
      <c r="G2444" s="94"/>
    </row>
    <row r="2445" spans="1:7" x14ac:dyDescent="0.25">
      <c r="A2445" s="89"/>
      <c r="B2445" s="191"/>
      <c r="E2445" s="94"/>
      <c r="F2445" s="94"/>
      <c r="G2445" s="94"/>
    </row>
    <row r="2446" spans="1:7" x14ac:dyDescent="0.25">
      <c r="A2446" s="89"/>
      <c r="B2446" s="191"/>
      <c r="E2446" s="94"/>
      <c r="F2446" s="94"/>
      <c r="G2446" s="94"/>
    </row>
    <row r="2447" spans="1:7" x14ac:dyDescent="0.25">
      <c r="A2447" s="89"/>
      <c r="B2447" s="191"/>
      <c r="E2447" s="94"/>
      <c r="F2447" s="94"/>
      <c r="G2447" s="94"/>
    </row>
    <row r="2448" spans="1:7" x14ac:dyDescent="0.25">
      <c r="A2448" s="89"/>
      <c r="B2448" s="191"/>
      <c r="E2448" s="94"/>
      <c r="F2448" s="94"/>
      <c r="G2448" s="94"/>
    </row>
    <row r="2449" spans="1:7" x14ac:dyDescent="0.25">
      <c r="A2449" s="89"/>
      <c r="B2449" s="191"/>
      <c r="E2449" s="94"/>
      <c r="F2449" s="94"/>
      <c r="G2449" s="94"/>
    </row>
    <row r="2450" spans="1:7" x14ac:dyDescent="0.25">
      <c r="A2450" s="89"/>
      <c r="B2450" s="191"/>
      <c r="E2450" s="94"/>
      <c r="F2450" s="94"/>
      <c r="G2450" s="94"/>
    </row>
    <row r="2451" spans="1:7" x14ac:dyDescent="0.25">
      <c r="A2451" s="89"/>
      <c r="B2451" s="191"/>
      <c r="E2451" s="94"/>
      <c r="F2451" s="94"/>
      <c r="G2451" s="94"/>
    </row>
    <row r="2452" spans="1:7" x14ac:dyDescent="0.25">
      <c r="A2452" s="89"/>
      <c r="B2452" s="191"/>
      <c r="E2452" s="94"/>
      <c r="F2452" s="94"/>
      <c r="G2452" s="94"/>
    </row>
    <row r="2453" spans="1:7" x14ac:dyDescent="0.25">
      <c r="A2453" s="89"/>
      <c r="B2453" s="191"/>
      <c r="E2453" s="94"/>
      <c r="F2453" s="94"/>
      <c r="G2453" s="94"/>
    </row>
    <row r="2454" spans="1:7" x14ac:dyDescent="0.25">
      <c r="A2454" s="89"/>
      <c r="B2454" s="191"/>
      <c r="E2454" s="94"/>
      <c r="F2454" s="94"/>
      <c r="G2454" s="94"/>
    </row>
    <row r="2455" spans="1:7" x14ac:dyDescent="0.25">
      <c r="A2455" s="89"/>
      <c r="B2455" s="191"/>
      <c r="E2455" s="94"/>
      <c r="F2455" s="94"/>
      <c r="G2455" s="94"/>
    </row>
    <row r="2456" spans="1:7" x14ac:dyDescent="0.25">
      <c r="A2456" s="89"/>
      <c r="B2456" s="191"/>
      <c r="E2456" s="94"/>
      <c r="F2456" s="94"/>
      <c r="G2456" s="94"/>
    </row>
    <row r="2457" spans="1:7" x14ac:dyDescent="0.25">
      <c r="A2457" s="89"/>
      <c r="B2457" s="191"/>
      <c r="E2457" s="94"/>
      <c r="F2457" s="94"/>
      <c r="G2457" s="94"/>
    </row>
    <row r="2458" spans="1:7" x14ac:dyDescent="0.25">
      <c r="A2458" s="89"/>
      <c r="B2458" s="191"/>
      <c r="E2458" s="94"/>
      <c r="F2458" s="94"/>
      <c r="G2458" s="94"/>
    </row>
    <row r="2459" spans="1:7" x14ac:dyDescent="0.25">
      <c r="A2459" s="89"/>
      <c r="B2459" s="191"/>
      <c r="E2459" s="94"/>
      <c r="F2459" s="94"/>
      <c r="G2459" s="94"/>
    </row>
    <row r="2460" spans="1:7" x14ac:dyDescent="0.25">
      <c r="A2460" s="89"/>
      <c r="B2460" s="191"/>
      <c r="E2460" s="94"/>
      <c r="F2460" s="94"/>
      <c r="G2460" s="94"/>
    </row>
    <row r="2461" spans="1:7" x14ac:dyDescent="0.25">
      <c r="A2461" s="89"/>
      <c r="B2461" s="191"/>
      <c r="E2461" s="94"/>
      <c r="F2461" s="94"/>
      <c r="G2461" s="94"/>
    </row>
    <row r="2462" spans="1:7" x14ac:dyDescent="0.25">
      <c r="A2462" s="89"/>
      <c r="B2462" s="191"/>
      <c r="E2462" s="94"/>
      <c r="F2462" s="94"/>
      <c r="G2462" s="94"/>
    </row>
    <row r="2463" spans="1:7" x14ac:dyDescent="0.25">
      <c r="A2463" s="89"/>
      <c r="B2463" s="191"/>
      <c r="E2463" s="94"/>
      <c r="F2463" s="94"/>
      <c r="G2463" s="94"/>
    </row>
    <row r="2464" spans="1:7" x14ac:dyDescent="0.25">
      <c r="A2464" s="89"/>
      <c r="B2464" s="191"/>
      <c r="E2464" s="94"/>
      <c r="F2464" s="94"/>
      <c r="G2464" s="94"/>
    </row>
    <row r="2465" spans="1:7" x14ac:dyDescent="0.25">
      <c r="A2465" s="89"/>
      <c r="B2465" s="191"/>
      <c r="E2465" s="94"/>
      <c r="F2465" s="94"/>
      <c r="G2465" s="94"/>
    </row>
    <row r="2466" spans="1:7" x14ac:dyDescent="0.25">
      <c r="A2466" s="89"/>
      <c r="B2466" s="191"/>
      <c r="E2466" s="94"/>
      <c r="F2466" s="94"/>
      <c r="G2466" s="94"/>
    </row>
    <row r="2467" spans="1:7" x14ac:dyDescent="0.25">
      <c r="A2467" s="89"/>
      <c r="B2467" s="191"/>
      <c r="E2467" s="94"/>
      <c r="F2467" s="94"/>
      <c r="G2467" s="94"/>
    </row>
    <row r="2468" spans="1:7" x14ac:dyDescent="0.25">
      <c r="A2468" s="89"/>
      <c r="B2468" s="191"/>
      <c r="E2468" s="94"/>
      <c r="F2468" s="94"/>
      <c r="G2468" s="94"/>
    </row>
    <row r="2469" spans="1:7" x14ac:dyDescent="0.25">
      <c r="A2469" s="89"/>
      <c r="B2469" s="191"/>
      <c r="E2469" s="94"/>
      <c r="F2469" s="94"/>
      <c r="G2469" s="94"/>
    </row>
    <row r="2470" spans="1:7" x14ac:dyDescent="0.25">
      <c r="A2470" s="89"/>
      <c r="B2470" s="191"/>
      <c r="E2470" s="94"/>
      <c r="F2470" s="94"/>
      <c r="G2470" s="94"/>
    </row>
    <row r="2471" spans="1:7" x14ac:dyDescent="0.25">
      <c r="A2471" s="89"/>
      <c r="B2471" s="191"/>
      <c r="E2471" s="94"/>
      <c r="F2471" s="94"/>
      <c r="G2471" s="94"/>
    </row>
    <row r="2472" spans="1:7" x14ac:dyDescent="0.25">
      <c r="A2472" s="89"/>
      <c r="B2472" s="191"/>
      <c r="E2472" s="94"/>
      <c r="F2472" s="94"/>
      <c r="G2472" s="94"/>
    </row>
    <row r="2473" spans="1:7" x14ac:dyDescent="0.25">
      <c r="A2473" s="89"/>
      <c r="B2473" s="191"/>
      <c r="E2473" s="94"/>
      <c r="F2473" s="94"/>
      <c r="G2473" s="94"/>
    </row>
    <row r="2474" spans="1:7" x14ac:dyDescent="0.25">
      <c r="A2474" s="89"/>
      <c r="B2474" s="191"/>
      <c r="E2474" s="94"/>
      <c r="F2474" s="94"/>
      <c r="G2474" s="94"/>
    </row>
    <row r="2475" spans="1:7" x14ac:dyDescent="0.25">
      <c r="A2475" s="89"/>
      <c r="B2475" s="191"/>
      <c r="E2475" s="94"/>
      <c r="F2475" s="94"/>
      <c r="G2475" s="94"/>
    </row>
    <row r="2476" spans="1:7" x14ac:dyDescent="0.25">
      <c r="A2476" s="89"/>
      <c r="B2476" s="191"/>
      <c r="E2476" s="94"/>
      <c r="F2476" s="94"/>
      <c r="G2476" s="94"/>
    </row>
    <row r="2477" spans="1:7" x14ac:dyDescent="0.25">
      <c r="A2477" s="89"/>
      <c r="B2477" s="191"/>
      <c r="E2477" s="94"/>
      <c r="F2477" s="94"/>
      <c r="G2477" s="94"/>
    </row>
    <row r="2478" spans="1:7" x14ac:dyDescent="0.25">
      <c r="A2478" s="89"/>
      <c r="B2478" s="191"/>
      <c r="E2478" s="94"/>
      <c r="F2478" s="94"/>
      <c r="G2478" s="94"/>
    </row>
    <row r="2479" spans="1:7" x14ac:dyDescent="0.25">
      <c r="A2479" s="89"/>
      <c r="B2479" s="191"/>
      <c r="E2479" s="94"/>
      <c r="F2479" s="94"/>
      <c r="G2479" s="94"/>
    </row>
    <row r="2480" spans="1:7" x14ac:dyDescent="0.25">
      <c r="A2480" s="89"/>
      <c r="B2480" s="191"/>
      <c r="E2480" s="94"/>
      <c r="F2480" s="94"/>
      <c r="G2480" s="94"/>
    </row>
    <row r="2481" spans="1:7" x14ac:dyDescent="0.25">
      <c r="A2481" s="89"/>
      <c r="B2481" s="191"/>
      <c r="E2481" s="94"/>
      <c r="F2481" s="94"/>
      <c r="G2481" s="94"/>
    </row>
    <row r="2482" spans="1:7" x14ac:dyDescent="0.25">
      <c r="A2482" s="89"/>
      <c r="B2482" s="191"/>
      <c r="E2482" s="94"/>
      <c r="F2482" s="94"/>
      <c r="G2482" s="94"/>
    </row>
    <row r="2483" spans="1:7" x14ac:dyDescent="0.25">
      <c r="A2483" s="89"/>
      <c r="B2483" s="191"/>
      <c r="E2483" s="94"/>
      <c r="F2483" s="94"/>
      <c r="G2483" s="94"/>
    </row>
    <row r="2484" spans="1:7" x14ac:dyDescent="0.25">
      <c r="A2484" s="89"/>
      <c r="B2484" s="191"/>
      <c r="E2484" s="94"/>
      <c r="F2484" s="94"/>
      <c r="G2484" s="94"/>
    </row>
    <row r="2485" spans="1:7" x14ac:dyDescent="0.25">
      <c r="A2485" s="89"/>
      <c r="B2485" s="191"/>
      <c r="E2485" s="94"/>
      <c r="F2485" s="94"/>
      <c r="G2485" s="94"/>
    </row>
    <row r="2486" spans="1:7" x14ac:dyDescent="0.25">
      <c r="A2486" s="89"/>
      <c r="B2486" s="191"/>
      <c r="E2486" s="94"/>
      <c r="F2486" s="94"/>
      <c r="G2486" s="94"/>
    </row>
    <row r="2487" spans="1:7" x14ac:dyDescent="0.25">
      <c r="A2487" s="89"/>
      <c r="B2487" s="191"/>
      <c r="E2487" s="94"/>
      <c r="F2487" s="94"/>
      <c r="G2487" s="94"/>
    </row>
    <row r="2488" spans="1:7" x14ac:dyDescent="0.25">
      <c r="A2488" s="89"/>
      <c r="B2488" s="191"/>
      <c r="E2488" s="94"/>
      <c r="F2488" s="94"/>
      <c r="G2488" s="94"/>
    </row>
    <row r="2489" spans="1:7" x14ac:dyDescent="0.25">
      <c r="A2489" s="89"/>
      <c r="B2489" s="191"/>
      <c r="E2489" s="94"/>
      <c r="F2489" s="94"/>
      <c r="G2489" s="94"/>
    </row>
    <row r="2490" spans="1:7" x14ac:dyDescent="0.25">
      <c r="A2490" s="89"/>
      <c r="B2490" s="191"/>
      <c r="E2490" s="94"/>
      <c r="F2490" s="94"/>
      <c r="G2490" s="94"/>
    </row>
    <row r="2491" spans="1:7" x14ac:dyDescent="0.25">
      <c r="A2491" s="89"/>
      <c r="B2491" s="191"/>
      <c r="E2491" s="94"/>
      <c r="F2491" s="94"/>
      <c r="G2491" s="94"/>
    </row>
    <row r="2492" spans="1:7" x14ac:dyDescent="0.25">
      <c r="A2492" s="89"/>
      <c r="B2492" s="191"/>
      <c r="E2492" s="94"/>
      <c r="F2492" s="94"/>
      <c r="G2492" s="94"/>
    </row>
    <row r="2493" spans="1:7" x14ac:dyDescent="0.25">
      <c r="A2493" s="89"/>
      <c r="B2493" s="191"/>
      <c r="E2493" s="94"/>
      <c r="F2493" s="94"/>
      <c r="G2493" s="94"/>
    </row>
    <row r="2494" spans="1:7" x14ac:dyDescent="0.25">
      <c r="A2494" s="89"/>
      <c r="B2494" s="191"/>
      <c r="E2494" s="94"/>
      <c r="F2494" s="94"/>
      <c r="G2494" s="94"/>
    </row>
    <row r="2495" spans="1:7" x14ac:dyDescent="0.25">
      <c r="A2495" s="89"/>
      <c r="B2495" s="191"/>
      <c r="E2495" s="94"/>
      <c r="F2495" s="94"/>
      <c r="G2495" s="94"/>
    </row>
    <row r="2496" spans="1:7" x14ac:dyDescent="0.25">
      <c r="A2496" s="89"/>
      <c r="B2496" s="191"/>
      <c r="E2496" s="94"/>
      <c r="F2496" s="94"/>
      <c r="G2496" s="94"/>
    </row>
    <row r="2497" spans="1:7" x14ac:dyDescent="0.25">
      <c r="A2497" s="89"/>
      <c r="B2497" s="191"/>
      <c r="E2497" s="94"/>
      <c r="F2497" s="94"/>
      <c r="G2497" s="94"/>
    </row>
    <row r="2498" spans="1:7" x14ac:dyDescent="0.25">
      <c r="A2498" s="89"/>
      <c r="B2498" s="191"/>
      <c r="E2498" s="94"/>
      <c r="F2498" s="94"/>
      <c r="G2498" s="94"/>
    </row>
    <row r="2499" spans="1:7" x14ac:dyDescent="0.25">
      <c r="A2499" s="89"/>
      <c r="B2499" s="191"/>
      <c r="E2499" s="94"/>
      <c r="F2499" s="94"/>
      <c r="G2499" s="94"/>
    </row>
    <row r="2500" spans="1:7" x14ac:dyDescent="0.25">
      <c r="A2500" s="89"/>
      <c r="B2500" s="191"/>
      <c r="E2500" s="94"/>
      <c r="F2500" s="94"/>
      <c r="G2500" s="94"/>
    </row>
    <row r="2501" spans="1:7" x14ac:dyDescent="0.25">
      <c r="A2501" s="89"/>
      <c r="B2501" s="191"/>
      <c r="E2501" s="94"/>
      <c r="F2501" s="94"/>
      <c r="G2501" s="94"/>
    </row>
    <row r="2502" spans="1:7" x14ac:dyDescent="0.25">
      <c r="A2502" s="89"/>
      <c r="B2502" s="191"/>
      <c r="E2502" s="94"/>
      <c r="F2502" s="94"/>
      <c r="G2502" s="94"/>
    </row>
    <row r="2503" spans="1:7" x14ac:dyDescent="0.25">
      <c r="A2503" s="89"/>
      <c r="B2503" s="191"/>
      <c r="E2503" s="94"/>
      <c r="F2503" s="94"/>
      <c r="G2503" s="94"/>
    </row>
    <row r="2504" spans="1:7" x14ac:dyDescent="0.25">
      <c r="A2504" s="89"/>
      <c r="B2504" s="191"/>
      <c r="E2504" s="94"/>
      <c r="F2504" s="94"/>
      <c r="G2504" s="94"/>
    </row>
    <row r="2505" spans="1:7" x14ac:dyDescent="0.25">
      <c r="A2505" s="89"/>
      <c r="B2505" s="191"/>
      <c r="E2505" s="94"/>
      <c r="F2505" s="94"/>
      <c r="G2505" s="94"/>
    </row>
    <row r="2506" spans="1:7" x14ac:dyDescent="0.25">
      <c r="A2506" s="89"/>
      <c r="B2506" s="191"/>
      <c r="E2506" s="94"/>
      <c r="F2506" s="94"/>
      <c r="G2506" s="94"/>
    </row>
    <row r="2507" spans="1:7" x14ac:dyDescent="0.25">
      <c r="A2507" s="89"/>
      <c r="B2507" s="191"/>
      <c r="E2507" s="94"/>
      <c r="F2507" s="94"/>
      <c r="G2507" s="94"/>
    </row>
    <row r="2508" spans="1:7" x14ac:dyDescent="0.25">
      <c r="A2508" s="89"/>
      <c r="B2508" s="191"/>
      <c r="E2508" s="94"/>
      <c r="F2508" s="94"/>
      <c r="G2508" s="94"/>
    </row>
    <row r="2509" spans="1:7" x14ac:dyDescent="0.25">
      <c r="A2509" s="89"/>
      <c r="B2509" s="191"/>
      <c r="E2509" s="94"/>
      <c r="F2509" s="94"/>
      <c r="G2509" s="94"/>
    </row>
    <row r="2510" spans="1:7" x14ac:dyDescent="0.25">
      <c r="A2510" s="89"/>
      <c r="B2510" s="191"/>
      <c r="E2510" s="94"/>
      <c r="F2510" s="94"/>
      <c r="G2510" s="94"/>
    </row>
    <row r="2511" spans="1:7" x14ac:dyDescent="0.25">
      <c r="A2511" s="89"/>
      <c r="B2511" s="191"/>
      <c r="E2511" s="94"/>
      <c r="F2511" s="94"/>
      <c r="G2511" s="94"/>
    </row>
    <row r="2512" spans="1:7" x14ac:dyDescent="0.25">
      <c r="A2512" s="89"/>
      <c r="B2512" s="191"/>
      <c r="E2512" s="94"/>
      <c r="F2512" s="94"/>
      <c r="G2512" s="94"/>
    </row>
    <row r="2513" spans="1:7" x14ac:dyDescent="0.25">
      <c r="A2513" s="89"/>
      <c r="B2513" s="191"/>
      <c r="E2513" s="94"/>
      <c r="F2513" s="94"/>
      <c r="G2513" s="94"/>
    </row>
    <row r="2514" spans="1:7" x14ac:dyDescent="0.25">
      <c r="A2514" s="89"/>
      <c r="B2514" s="191"/>
      <c r="E2514" s="94"/>
      <c r="F2514" s="94"/>
      <c r="G2514" s="94"/>
    </row>
    <row r="2515" spans="1:7" x14ac:dyDescent="0.25">
      <c r="A2515" s="89"/>
      <c r="B2515" s="191"/>
      <c r="E2515" s="94"/>
      <c r="F2515" s="94"/>
      <c r="G2515" s="94"/>
    </row>
    <row r="2516" spans="1:7" x14ac:dyDescent="0.25">
      <c r="A2516" s="89"/>
      <c r="B2516" s="191"/>
      <c r="E2516" s="94"/>
      <c r="F2516" s="94"/>
      <c r="G2516" s="94"/>
    </row>
    <row r="2517" spans="1:7" x14ac:dyDescent="0.25">
      <c r="A2517" s="89"/>
      <c r="B2517" s="191"/>
      <c r="E2517" s="94"/>
      <c r="F2517" s="94"/>
      <c r="G2517" s="94"/>
    </row>
    <row r="2518" spans="1:7" x14ac:dyDescent="0.25">
      <c r="A2518" s="89"/>
      <c r="B2518" s="191"/>
      <c r="E2518" s="94"/>
      <c r="F2518" s="94"/>
      <c r="G2518" s="94"/>
    </row>
    <row r="2519" spans="1:7" x14ac:dyDescent="0.25">
      <c r="A2519" s="89"/>
      <c r="B2519" s="191"/>
      <c r="E2519" s="94"/>
      <c r="F2519" s="94"/>
      <c r="G2519" s="94"/>
    </row>
    <row r="2520" spans="1:7" x14ac:dyDescent="0.25">
      <c r="A2520" s="89"/>
      <c r="B2520" s="191"/>
      <c r="E2520" s="94"/>
      <c r="F2520" s="94"/>
      <c r="G2520" s="94"/>
    </row>
    <row r="2521" spans="1:7" x14ac:dyDescent="0.25">
      <c r="A2521" s="89"/>
      <c r="B2521" s="191"/>
      <c r="E2521" s="94"/>
      <c r="F2521" s="94"/>
      <c r="G2521" s="94"/>
    </row>
    <row r="2522" spans="1:7" x14ac:dyDescent="0.25">
      <c r="A2522" s="89"/>
      <c r="B2522" s="191"/>
      <c r="E2522" s="94"/>
      <c r="F2522" s="94"/>
      <c r="G2522" s="94"/>
    </row>
    <row r="2523" spans="1:7" x14ac:dyDescent="0.25">
      <c r="A2523" s="89"/>
      <c r="B2523" s="191"/>
      <c r="E2523" s="94"/>
      <c r="F2523" s="94"/>
      <c r="G2523" s="94"/>
    </row>
    <row r="2524" spans="1:7" x14ac:dyDescent="0.25">
      <c r="A2524" s="89"/>
      <c r="B2524" s="191"/>
      <c r="E2524" s="94"/>
      <c r="F2524" s="94"/>
      <c r="G2524" s="94"/>
    </row>
    <row r="2525" spans="1:7" x14ac:dyDescent="0.25">
      <c r="A2525" s="89"/>
      <c r="B2525" s="191"/>
      <c r="E2525" s="94"/>
      <c r="F2525" s="94"/>
      <c r="G2525" s="94"/>
    </row>
    <row r="2526" spans="1:7" x14ac:dyDescent="0.25">
      <c r="A2526" s="89"/>
      <c r="B2526" s="191"/>
      <c r="E2526" s="94"/>
      <c r="F2526" s="94"/>
      <c r="G2526" s="94"/>
    </row>
    <row r="2527" spans="1:7" x14ac:dyDescent="0.25">
      <c r="A2527" s="89"/>
      <c r="B2527" s="191"/>
      <c r="E2527" s="94"/>
      <c r="F2527" s="94"/>
      <c r="G2527" s="94"/>
    </row>
    <row r="2528" spans="1:7" x14ac:dyDescent="0.25">
      <c r="A2528" s="89"/>
      <c r="B2528" s="191"/>
      <c r="E2528" s="94"/>
      <c r="F2528" s="94"/>
      <c r="G2528" s="94"/>
    </row>
    <row r="2529" spans="1:7" x14ac:dyDescent="0.25">
      <c r="A2529" s="89"/>
      <c r="B2529" s="191"/>
      <c r="E2529" s="94"/>
      <c r="F2529" s="94"/>
      <c r="G2529" s="94"/>
    </row>
    <row r="2530" spans="1:7" x14ac:dyDescent="0.25">
      <c r="A2530" s="89"/>
      <c r="B2530" s="191"/>
      <c r="E2530" s="94"/>
      <c r="F2530" s="94"/>
      <c r="G2530" s="94"/>
    </row>
    <row r="2531" spans="1:7" x14ac:dyDescent="0.25">
      <c r="A2531" s="89"/>
      <c r="B2531" s="191"/>
      <c r="E2531" s="94"/>
      <c r="F2531" s="94"/>
      <c r="G2531" s="94"/>
    </row>
    <row r="2532" spans="1:7" x14ac:dyDescent="0.25">
      <c r="A2532" s="89"/>
      <c r="B2532" s="191"/>
      <c r="E2532" s="94"/>
      <c r="F2532" s="94"/>
      <c r="G2532" s="94"/>
    </row>
    <row r="2533" spans="1:7" x14ac:dyDescent="0.25">
      <c r="A2533" s="89"/>
      <c r="B2533" s="191"/>
      <c r="E2533" s="94"/>
      <c r="F2533" s="94"/>
      <c r="G2533" s="94"/>
    </row>
    <row r="2534" spans="1:7" x14ac:dyDescent="0.25">
      <c r="A2534" s="89"/>
      <c r="B2534" s="191"/>
      <c r="E2534" s="94"/>
      <c r="F2534" s="94"/>
      <c r="G2534" s="94"/>
    </row>
    <row r="2535" spans="1:7" x14ac:dyDescent="0.25">
      <c r="A2535" s="89"/>
      <c r="B2535" s="191"/>
      <c r="E2535" s="94"/>
      <c r="F2535" s="94"/>
      <c r="G2535" s="94"/>
    </row>
    <row r="2536" spans="1:7" x14ac:dyDescent="0.25">
      <c r="A2536" s="89"/>
      <c r="B2536" s="191"/>
      <c r="E2536" s="94"/>
      <c r="F2536" s="94"/>
      <c r="G2536" s="94"/>
    </row>
    <row r="2537" spans="1:7" x14ac:dyDescent="0.25">
      <c r="A2537" s="89"/>
      <c r="B2537" s="191"/>
      <c r="E2537" s="94"/>
      <c r="F2537" s="94"/>
      <c r="G2537" s="94"/>
    </row>
    <row r="2538" spans="1:7" x14ac:dyDescent="0.25">
      <c r="A2538" s="89"/>
      <c r="B2538" s="191"/>
      <c r="E2538" s="94"/>
      <c r="F2538" s="94"/>
      <c r="G2538" s="94"/>
    </row>
    <row r="2539" spans="1:7" x14ac:dyDescent="0.25">
      <c r="A2539" s="89"/>
      <c r="B2539" s="191"/>
      <c r="E2539" s="94"/>
      <c r="F2539" s="94"/>
      <c r="G2539" s="94"/>
    </row>
    <row r="2540" spans="1:7" x14ac:dyDescent="0.25">
      <c r="A2540" s="89"/>
      <c r="B2540" s="191"/>
      <c r="E2540" s="94"/>
      <c r="F2540" s="94"/>
      <c r="G2540" s="94"/>
    </row>
    <row r="2541" spans="1:7" x14ac:dyDescent="0.25">
      <c r="A2541" s="89"/>
      <c r="B2541" s="191"/>
      <c r="E2541" s="94"/>
      <c r="F2541" s="94"/>
      <c r="G2541" s="94"/>
    </row>
    <row r="2542" spans="1:7" x14ac:dyDescent="0.25">
      <c r="A2542" s="89"/>
      <c r="B2542" s="191"/>
      <c r="E2542" s="94"/>
      <c r="F2542" s="94"/>
      <c r="G2542" s="94"/>
    </row>
    <row r="2543" spans="1:7" x14ac:dyDescent="0.25">
      <c r="A2543" s="89"/>
      <c r="B2543" s="191"/>
      <c r="E2543" s="94"/>
      <c r="F2543" s="94"/>
      <c r="G2543" s="94"/>
    </row>
    <row r="2544" spans="1:7" x14ac:dyDescent="0.25">
      <c r="A2544" s="89"/>
      <c r="B2544" s="191"/>
      <c r="E2544" s="94"/>
      <c r="F2544" s="94"/>
      <c r="G2544" s="94"/>
    </row>
    <row r="2545" spans="1:7" x14ac:dyDescent="0.25">
      <c r="A2545" s="89"/>
      <c r="B2545" s="191"/>
      <c r="E2545" s="94"/>
      <c r="F2545" s="94"/>
      <c r="G2545" s="94"/>
    </row>
    <row r="2546" spans="1:7" x14ac:dyDescent="0.25">
      <c r="A2546" s="89"/>
      <c r="B2546" s="191"/>
      <c r="E2546" s="94"/>
      <c r="F2546" s="94"/>
      <c r="G2546" s="94"/>
    </row>
    <row r="2547" spans="1:7" x14ac:dyDescent="0.25">
      <c r="A2547" s="89"/>
      <c r="B2547" s="191"/>
      <c r="E2547" s="94"/>
      <c r="F2547" s="94"/>
      <c r="G2547" s="94"/>
    </row>
    <row r="2548" spans="1:7" x14ac:dyDescent="0.25">
      <c r="A2548" s="89"/>
      <c r="B2548" s="191"/>
      <c r="E2548" s="94"/>
      <c r="F2548" s="94"/>
      <c r="G2548" s="94"/>
    </row>
    <row r="2549" spans="1:7" x14ac:dyDescent="0.25">
      <c r="A2549" s="89"/>
      <c r="B2549" s="191"/>
      <c r="E2549" s="94"/>
      <c r="F2549" s="94"/>
      <c r="G2549" s="94"/>
    </row>
    <row r="2550" spans="1:7" x14ac:dyDescent="0.25">
      <c r="A2550" s="89"/>
      <c r="B2550" s="191"/>
      <c r="E2550" s="94"/>
      <c r="F2550" s="94"/>
      <c r="G2550" s="94"/>
    </row>
    <row r="2551" spans="1:7" x14ac:dyDescent="0.25">
      <c r="A2551" s="89"/>
      <c r="B2551" s="191"/>
      <c r="E2551" s="94"/>
      <c r="F2551" s="94"/>
      <c r="G2551" s="94"/>
    </row>
    <row r="2552" spans="1:7" x14ac:dyDescent="0.25">
      <c r="A2552" s="89"/>
      <c r="B2552" s="191"/>
      <c r="E2552" s="94"/>
      <c r="F2552" s="94"/>
      <c r="G2552" s="94"/>
    </row>
    <row r="2553" spans="1:7" x14ac:dyDescent="0.25">
      <c r="A2553" s="89"/>
      <c r="B2553" s="191"/>
      <c r="E2553" s="94"/>
      <c r="F2553" s="94"/>
      <c r="G2553" s="94"/>
    </row>
    <row r="2554" spans="1:7" x14ac:dyDescent="0.25">
      <c r="A2554" s="89"/>
      <c r="B2554" s="191"/>
      <c r="E2554" s="94"/>
      <c r="F2554" s="94"/>
      <c r="G2554" s="94"/>
    </row>
    <row r="2555" spans="1:7" x14ac:dyDescent="0.25">
      <c r="A2555" s="89"/>
      <c r="B2555" s="191"/>
      <c r="E2555" s="94"/>
      <c r="F2555" s="94"/>
      <c r="G2555" s="94"/>
    </row>
    <row r="2556" spans="1:7" x14ac:dyDescent="0.25">
      <c r="A2556" s="89"/>
      <c r="B2556" s="191"/>
      <c r="E2556" s="94"/>
      <c r="F2556" s="94"/>
      <c r="G2556" s="94"/>
    </row>
    <row r="2557" spans="1:7" x14ac:dyDescent="0.25">
      <c r="A2557" s="89"/>
      <c r="B2557" s="191"/>
      <c r="E2557" s="94"/>
      <c r="F2557" s="94"/>
      <c r="G2557" s="94"/>
    </row>
    <row r="2558" spans="1:7" x14ac:dyDescent="0.25">
      <c r="A2558" s="89"/>
      <c r="B2558" s="191"/>
      <c r="E2558" s="94"/>
      <c r="F2558" s="94"/>
      <c r="G2558" s="94"/>
    </row>
    <row r="2559" spans="1:7" x14ac:dyDescent="0.25">
      <c r="A2559" s="89"/>
      <c r="B2559" s="191"/>
      <c r="E2559" s="94"/>
      <c r="F2559" s="94"/>
      <c r="G2559" s="94"/>
    </row>
    <row r="2560" spans="1:7" x14ac:dyDescent="0.25">
      <c r="A2560" s="89"/>
      <c r="B2560" s="191"/>
      <c r="E2560" s="94"/>
      <c r="F2560" s="94"/>
      <c r="G2560" s="94"/>
    </row>
    <row r="2561" spans="1:7" x14ac:dyDescent="0.25">
      <c r="A2561" s="89"/>
      <c r="B2561" s="191"/>
      <c r="E2561" s="94"/>
      <c r="F2561" s="94"/>
      <c r="G2561" s="94"/>
    </row>
    <row r="2562" spans="1:7" x14ac:dyDescent="0.25">
      <c r="A2562" s="89"/>
      <c r="B2562" s="191"/>
      <c r="E2562" s="94"/>
      <c r="F2562" s="94"/>
      <c r="G2562" s="94"/>
    </row>
    <row r="2563" spans="1:7" x14ac:dyDescent="0.25">
      <c r="A2563" s="89"/>
      <c r="B2563" s="191"/>
      <c r="E2563" s="94"/>
      <c r="F2563" s="94"/>
      <c r="G2563" s="94"/>
    </row>
    <row r="2564" spans="1:7" x14ac:dyDescent="0.25">
      <c r="A2564" s="89"/>
      <c r="B2564" s="191"/>
      <c r="E2564" s="94"/>
      <c r="F2564" s="94"/>
      <c r="G2564" s="94"/>
    </row>
    <row r="2565" spans="1:7" x14ac:dyDescent="0.25">
      <c r="A2565" s="89"/>
      <c r="B2565" s="191"/>
      <c r="E2565" s="94"/>
      <c r="F2565" s="94"/>
      <c r="G2565" s="94"/>
    </row>
    <row r="2566" spans="1:7" x14ac:dyDescent="0.25">
      <c r="A2566" s="89"/>
      <c r="B2566" s="191"/>
      <c r="E2566" s="94"/>
      <c r="F2566" s="94"/>
      <c r="G2566" s="94"/>
    </row>
    <row r="2567" spans="1:7" x14ac:dyDescent="0.25">
      <c r="A2567" s="89"/>
      <c r="B2567" s="191"/>
      <c r="E2567" s="94"/>
      <c r="F2567" s="94"/>
      <c r="G2567" s="94"/>
    </row>
    <row r="2568" spans="1:7" x14ac:dyDescent="0.25">
      <c r="A2568" s="89"/>
      <c r="B2568" s="191"/>
      <c r="E2568" s="94"/>
      <c r="F2568" s="94"/>
      <c r="G2568" s="94"/>
    </row>
    <row r="2569" spans="1:7" x14ac:dyDescent="0.25">
      <c r="A2569" s="89"/>
      <c r="B2569" s="191"/>
      <c r="E2569" s="94"/>
      <c r="F2569" s="94"/>
      <c r="G2569" s="94"/>
    </row>
    <row r="2570" spans="1:7" x14ac:dyDescent="0.25">
      <c r="A2570" s="89"/>
      <c r="B2570" s="191"/>
      <c r="E2570" s="94"/>
      <c r="F2570" s="94"/>
      <c r="G2570" s="94"/>
    </row>
    <row r="2571" spans="1:7" x14ac:dyDescent="0.25">
      <c r="A2571" s="89"/>
      <c r="B2571" s="191"/>
      <c r="E2571" s="94"/>
      <c r="F2571" s="94"/>
      <c r="G2571" s="94"/>
    </row>
    <row r="2572" spans="1:7" x14ac:dyDescent="0.25">
      <c r="A2572" s="89"/>
      <c r="B2572" s="191"/>
      <c r="E2572" s="94"/>
      <c r="F2572" s="94"/>
      <c r="G2572" s="94"/>
    </row>
    <row r="2573" spans="1:7" x14ac:dyDescent="0.25">
      <c r="A2573" s="89"/>
      <c r="B2573" s="191"/>
      <c r="E2573" s="94"/>
      <c r="F2573" s="94"/>
      <c r="G2573" s="94"/>
    </row>
    <row r="2574" spans="1:7" x14ac:dyDescent="0.25">
      <c r="A2574" s="89"/>
      <c r="B2574" s="191"/>
      <c r="E2574" s="94"/>
      <c r="F2574" s="94"/>
      <c r="G2574" s="94"/>
    </row>
    <row r="2575" spans="1:7" x14ac:dyDescent="0.25">
      <c r="A2575" s="89"/>
      <c r="B2575" s="191"/>
      <c r="E2575" s="94"/>
      <c r="F2575" s="94"/>
      <c r="G2575" s="94"/>
    </row>
    <row r="2576" spans="1:7" x14ac:dyDescent="0.25">
      <c r="A2576" s="89"/>
      <c r="B2576" s="191"/>
      <c r="E2576" s="94"/>
      <c r="F2576" s="94"/>
      <c r="G2576" s="94"/>
    </row>
    <row r="2577" spans="1:7" x14ac:dyDescent="0.25">
      <c r="A2577" s="89"/>
      <c r="B2577" s="191"/>
      <c r="E2577" s="94"/>
      <c r="F2577" s="94"/>
      <c r="G2577" s="94"/>
    </row>
    <row r="2578" spans="1:7" x14ac:dyDescent="0.25">
      <c r="A2578" s="89"/>
      <c r="B2578" s="191"/>
      <c r="E2578" s="94"/>
      <c r="F2578" s="94"/>
      <c r="G2578" s="94"/>
    </row>
    <row r="2579" spans="1:7" x14ac:dyDescent="0.25">
      <c r="A2579" s="89"/>
      <c r="B2579" s="191"/>
      <c r="E2579" s="94"/>
      <c r="F2579" s="94"/>
      <c r="G2579" s="94"/>
    </row>
    <row r="2580" spans="1:7" x14ac:dyDescent="0.25">
      <c r="A2580" s="89"/>
      <c r="B2580" s="191"/>
      <c r="E2580" s="94"/>
      <c r="F2580" s="94"/>
      <c r="G2580" s="94"/>
    </row>
    <row r="2581" spans="1:7" x14ac:dyDescent="0.25">
      <c r="A2581" s="89"/>
      <c r="B2581" s="191"/>
      <c r="E2581" s="94"/>
      <c r="F2581" s="94"/>
      <c r="G2581" s="94"/>
    </row>
    <row r="2582" spans="1:7" x14ac:dyDescent="0.25">
      <c r="A2582" s="89"/>
      <c r="B2582" s="191"/>
      <c r="E2582" s="94"/>
      <c r="F2582" s="94"/>
      <c r="G2582" s="94"/>
    </row>
    <row r="2583" spans="1:7" x14ac:dyDescent="0.25">
      <c r="A2583" s="89"/>
      <c r="B2583" s="191"/>
      <c r="E2583" s="94"/>
      <c r="F2583" s="94"/>
      <c r="G2583" s="94"/>
    </row>
    <row r="2584" spans="1:7" x14ac:dyDescent="0.25">
      <c r="A2584" s="89"/>
      <c r="B2584" s="191"/>
      <c r="E2584" s="94"/>
      <c r="F2584" s="94"/>
      <c r="G2584" s="94"/>
    </row>
    <row r="2585" spans="1:7" x14ac:dyDescent="0.25">
      <c r="A2585" s="89"/>
      <c r="B2585" s="191"/>
      <c r="E2585" s="94"/>
      <c r="F2585" s="94"/>
      <c r="G2585" s="94"/>
    </row>
    <row r="2586" spans="1:7" x14ac:dyDescent="0.25">
      <c r="A2586" s="89"/>
      <c r="B2586" s="191"/>
      <c r="E2586" s="94"/>
      <c r="F2586" s="94"/>
      <c r="G2586" s="94"/>
    </row>
    <row r="2587" spans="1:7" x14ac:dyDescent="0.25">
      <c r="A2587" s="89"/>
      <c r="B2587" s="191"/>
      <c r="E2587" s="94"/>
      <c r="F2587" s="94"/>
      <c r="G2587" s="94"/>
    </row>
    <row r="2588" spans="1:7" x14ac:dyDescent="0.25">
      <c r="A2588" s="89"/>
      <c r="B2588" s="191"/>
      <c r="E2588" s="94"/>
      <c r="F2588" s="94"/>
      <c r="G2588" s="94"/>
    </row>
    <row r="2589" spans="1:7" x14ac:dyDescent="0.25">
      <c r="A2589" s="89"/>
      <c r="B2589" s="191"/>
      <c r="E2589" s="94"/>
      <c r="F2589" s="94"/>
      <c r="G2589" s="94"/>
    </row>
    <row r="2590" spans="1:7" x14ac:dyDescent="0.25">
      <c r="A2590" s="89"/>
      <c r="B2590" s="191"/>
      <c r="E2590" s="94"/>
      <c r="F2590" s="94"/>
      <c r="G2590" s="94"/>
    </row>
    <row r="2591" spans="1:7" x14ac:dyDescent="0.25">
      <c r="A2591" s="89"/>
      <c r="B2591" s="191"/>
      <c r="E2591" s="94"/>
      <c r="F2591" s="94"/>
      <c r="G2591" s="94"/>
    </row>
    <row r="2592" spans="1:7" x14ac:dyDescent="0.25">
      <c r="A2592" s="89"/>
      <c r="B2592" s="191"/>
      <c r="E2592" s="94"/>
      <c r="F2592" s="94"/>
      <c r="G2592" s="94"/>
    </row>
    <row r="2593" spans="1:7" x14ac:dyDescent="0.25">
      <c r="A2593" s="89"/>
      <c r="B2593" s="191"/>
      <c r="E2593" s="94"/>
      <c r="F2593" s="94"/>
      <c r="G2593" s="94"/>
    </row>
    <row r="2594" spans="1:7" x14ac:dyDescent="0.25">
      <c r="A2594" s="89"/>
      <c r="B2594" s="191"/>
      <c r="E2594" s="94"/>
      <c r="F2594" s="94"/>
      <c r="G2594" s="94"/>
    </row>
    <row r="2595" spans="1:7" x14ac:dyDescent="0.25">
      <c r="A2595" s="89"/>
      <c r="B2595" s="191"/>
      <c r="E2595" s="94"/>
      <c r="F2595" s="94"/>
      <c r="G2595" s="94"/>
    </row>
    <row r="2596" spans="1:7" x14ac:dyDescent="0.25">
      <c r="A2596" s="89"/>
      <c r="B2596" s="191"/>
      <c r="E2596" s="94"/>
      <c r="F2596" s="94"/>
      <c r="G2596" s="94"/>
    </row>
    <row r="2597" spans="1:7" x14ac:dyDescent="0.25">
      <c r="A2597" s="89"/>
      <c r="B2597" s="191"/>
      <c r="E2597" s="94"/>
      <c r="F2597" s="94"/>
      <c r="G2597" s="94"/>
    </row>
    <row r="2598" spans="1:7" x14ac:dyDescent="0.25">
      <c r="A2598" s="89"/>
      <c r="B2598" s="191"/>
      <c r="E2598" s="94"/>
      <c r="F2598" s="94"/>
      <c r="G2598" s="94"/>
    </row>
    <row r="2599" spans="1:7" x14ac:dyDescent="0.25">
      <c r="A2599" s="89"/>
      <c r="B2599" s="191"/>
      <c r="E2599" s="94"/>
      <c r="F2599" s="94"/>
      <c r="G2599" s="94"/>
    </row>
    <row r="2600" spans="1:7" x14ac:dyDescent="0.25">
      <c r="A2600" s="89"/>
      <c r="B2600" s="191"/>
      <c r="E2600" s="94"/>
      <c r="F2600" s="94"/>
      <c r="G2600" s="94"/>
    </row>
    <row r="2601" spans="1:7" x14ac:dyDescent="0.25">
      <c r="A2601" s="89"/>
      <c r="B2601" s="191"/>
      <c r="E2601" s="94"/>
      <c r="F2601" s="94"/>
      <c r="G2601" s="94"/>
    </row>
    <row r="2602" spans="1:7" x14ac:dyDescent="0.25">
      <c r="A2602" s="89"/>
      <c r="B2602" s="191"/>
      <c r="E2602" s="94"/>
      <c r="F2602" s="94"/>
      <c r="G2602" s="94"/>
    </row>
    <row r="2603" spans="1:7" x14ac:dyDescent="0.25">
      <c r="A2603" s="89"/>
      <c r="B2603" s="191"/>
      <c r="E2603" s="94"/>
      <c r="F2603" s="94"/>
      <c r="G2603" s="94"/>
    </row>
    <row r="2604" spans="1:7" x14ac:dyDescent="0.25">
      <c r="A2604" s="89"/>
      <c r="B2604" s="191"/>
      <c r="E2604" s="94"/>
      <c r="F2604" s="94"/>
      <c r="G2604" s="94"/>
    </row>
    <row r="2605" spans="1:7" x14ac:dyDescent="0.25">
      <c r="A2605" s="89"/>
      <c r="B2605" s="191"/>
      <c r="E2605" s="94"/>
      <c r="F2605" s="94"/>
      <c r="G2605" s="94"/>
    </row>
    <row r="2606" spans="1:7" x14ac:dyDescent="0.25">
      <c r="A2606" s="89"/>
      <c r="B2606" s="191"/>
      <c r="E2606" s="94"/>
      <c r="F2606" s="94"/>
      <c r="G2606" s="94"/>
    </row>
    <row r="2607" spans="1:7" x14ac:dyDescent="0.25">
      <c r="A2607" s="89"/>
      <c r="B2607" s="191"/>
      <c r="E2607" s="94"/>
      <c r="F2607" s="94"/>
      <c r="G2607" s="94"/>
    </row>
    <row r="2608" spans="1:7" x14ac:dyDescent="0.25">
      <c r="A2608" s="89"/>
      <c r="B2608" s="191"/>
      <c r="E2608" s="94"/>
      <c r="F2608" s="94"/>
      <c r="G2608" s="94"/>
    </row>
    <row r="2609" spans="1:7" x14ac:dyDescent="0.25">
      <c r="A2609" s="89"/>
      <c r="B2609" s="191"/>
      <c r="E2609" s="94"/>
      <c r="F2609" s="94"/>
      <c r="G2609" s="94"/>
    </row>
    <row r="2610" spans="1:7" x14ac:dyDescent="0.25">
      <c r="A2610" s="89"/>
      <c r="B2610" s="191"/>
      <c r="E2610" s="94"/>
      <c r="F2610" s="94"/>
      <c r="G2610" s="94"/>
    </row>
    <row r="2611" spans="1:7" x14ac:dyDescent="0.25">
      <c r="A2611" s="89"/>
      <c r="B2611" s="191"/>
      <c r="E2611" s="94"/>
      <c r="F2611" s="94"/>
      <c r="G2611" s="94"/>
    </row>
    <row r="2612" spans="1:7" x14ac:dyDescent="0.25">
      <c r="A2612" s="89"/>
      <c r="B2612" s="191"/>
      <c r="E2612" s="94"/>
      <c r="F2612" s="94"/>
      <c r="G2612" s="94"/>
    </row>
    <row r="2613" spans="1:7" x14ac:dyDescent="0.25">
      <c r="A2613" s="89"/>
      <c r="B2613" s="191"/>
      <c r="E2613" s="94"/>
      <c r="F2613" s="94"/>
      <c r="G2613" s="94"/>
    </row>
    <row r="2614" spans="1:7" x14ac:dyDescent="0.25">
      <c r="A2614" s="89"/>
      <c r="B2614" s="191"/>
      <c r="E2614" s="94"/>
      <c r="F2614" s="94"/>
      <c r="G2614" s="94"/>
    </row>
    <row r="2615" spans="1:7" x14ac:dyDescent="0.25">
      <c r="A2615" s="89"/>
      <c r="B2615" s="191"/>
      <c r="E2615" s="94"/>
      <c r="F2615" s="94"/>
      <c r="G2615" s="94"/>
    </row>
    <row r="2616" spans="1:7" x14ac:dyDescent="0.25">
      <c r="A2616" s="89"/>
      <c r="B2616" s="191"/>
      <c r="E2616" s="94"/>
      <c r="F2616" s="94"/>
      <c r="G2616" s="94"/>
    </row>
    <row r="2617" spans="1:7" x14ac:dyDescent="0.25">
      <c r="A2617" s="89"/>
      <c r="B2617" s="191"/>
      <c r="E2617" s="94"/>
      <c r="F2617" s="94"/>
      <c r="G2617" s="94"/>
    </row>
    <row r="2618" spans="1:7" x14ac:dyDescent="0.25">
      <c r="A2618" s="89"/>
      <c r="B2618" s="191"/>
      <c r="E2618" s="94"/>
      <c r="F2618" s="94"/>
      <c r="G2618" s="94"/>
    </row>
    <row r="2619" spans="1:7" x14ac:dyDescent="0.25">
      <c r="A2619" s="89"/>
      <c r="B2619" s="191"/>
      <c r="E2619" s="94"/>
      <c r="F2619" s="94"/>
      <c r="G2619" s="94"/>
    </row>
    <row r="2620" spans="1:7" x14ac:dyDescent="0.25">
      <c r="A2620" s="89"/>
      <c r="B2620" s="191"/>
      <c r="E2620" s="94"/>
      <c r="F2620" s="94"/>
      <c r="G2620" s="94"/>
    </row>
    <row r="2621" spans="1:7" x14ac:dyDescent="0.25">
      <c r="A2621" s="89"/>
      <c r="B2621" s="191"/>
      <c r="E2621" s="94"/>
      <c r="F2621" s="94"/>
      <c r="G2621" s="94"/>
    </row>
    <row r="2622" spans="1:7" x14ac:dyDescent="0.25">
      <c r="A2622" s="89"/>
      <c r="B2622" s="191"/>
      <c r="E2622" s="94"/>
      <c r="F2622" s="94"/>
      <c r="G2622" s="94"/>
    </row>
    <row r="2623" spans="1:7" x14ac:dyDescent="0.25">
      <c r="A2623" s="89"/>
      <c r="B2623" s="191"/>
      <c r="E2623" s="94"/>
      <c r="F2623" s="94"/>
      <c r="G2623" s="94"/>
    </row>
    <row r="2624" spans="1:7" x14ac:dyDescent="0.25">
      <c r="A2624" s="89"/>
      <c r="B2624" s="191"/>
      <c r="E2624" s="94"/>
      <c r="F2624" s="94"/>
      <c r="G2624" s="94"/>
    </row>
    <row r="2625" spans="1:7" x14ac:dyDescent="0.25">
      <c r="A2625" s="89"/>
      <c r="B2625" s="191"/>
      <c r="E2625" s="94"/>
      <c r="F2625" s="94"/>
      <c r="G2625" s="94"/>
    </row>
    <row r="2626" spans="1:7" x14ac:dyDescent="0.25">
      <c r="A2626" s="89"/>
      <c r="B2626" s="191"/>
      <c r="E2626" s="94"/>
      <c r="F2626" s="94"/>
      <c r="G2626" s="94"/>
    </row>
    <row r="2627" spans="1:7" x14ac:dyDescent="0.25">
      <c r="A2627" s="89"/>
      <c r="B2627" s="191"/>
      <c r="E2627" s="94"/>
      <c r="F2627" s="94"/>
      <c r="G2627" s="94"/>
    </row>
    <row r="2628" spans="1:7" x14ac:dyDescent="0.25">
      <c r="A2628" s="89"/>
      <c r="B2628" s="191"/>
      <c r="E2628" s="94"/>
      <c r="F2628" s="94"/>
      <c r="G2628" s="94"/>
    </row>
    <row r="2629" spans="1:7" x14ac:dyDescent="0.25">
      <c r="A2629" s="89"/>
      <c r="B2629" s="191"/>
      <c r="E2629" s="94"/>
      <c r="F2629" s="94"/>
      <c r="G2629" s="94"/>
    </row>
    <row r="2630" spans="1:7" x14ac:dyDescent="0.25">
      <c r="A2630" s="89"/>
      <c r="B2630" s="191"/>
      <c r="E2630" s="94"/>
      <c r="F2630" s="94"/>
      <c r="G2630" s="94"/>
    </row>
    <row r="2631" spans="1:7" x14ac:dyDescent="0.25">
      <c r="A2631" s="89"/>
      <c r="B2631" s="191"/>
      <c r="E2631" s="94"/>
      <c r="F2631" s="94"/>
      <c r="G2631" s="94"/>
    </row>
    <row r="2632" spans="1:7" x14ac:dyDescent="0.25">
      <c r="A2632" s="89"/>
      <c r="B2632" s="191"/>
      <c r="E2632" s="94"/>
      <c r="F2632" s="94"/>
      <c r="G2632" s="94"/>
    </row>
    <row r="2633" spans="1:7" x14ac:dyDescent="0.25">
      <c r="A2633" s="89"/>
      <c r="B2633" s="191"/>
      <c r="E2633" s="94"/>
      <c r="F2633" s="94"/>
      <c r="G2633" s="94"/>
    </row>
    <row r="2634" spans="1:7" x14ac:dyDescent="0.25">
      <c r="A2634" s="89"/>
      <c r="B2634" s="191"/>
      <c r="E2634" s="94"/>
      <c r="F2634" s="94"/>
      <c r="G2634" s="94"/>
    </row>
    <row r="2635" spans="1:7" x14ac:dyDescent="0.25">
      <c r="A2635" s="89"/>
      <c r="B2635" s="191"/>
      <c r="E2635" s="94"/>
      <c r="F2635" s="94"/>
      <c r="G2635" s="94"/>
    </row>
    <row r="2636" spans="1:7" x14ac:dyDescent="0.25">
      <c r="A2636" s="89"/>
      <c r="B2636" s="191"/>
      <c r="E2636" s="94"/>
      <c r="F2636" s="94"/>
      <c r="G2636" s="94"/>
    </row>
    <row r="2637" spans="1:7" x14ac:dyDescent="0.25">
      <c r="A2637" s="89"/>
      <c r="B2637" s="191"/>
      <c r="E2637" s="94"/>
      <c r="F2637" s="94"/>
      <c r="G2637" s="94"/>
    </row>
    <row r="2638" spans="1:7" x14ac:dyDescent="0.25">
      <c r="A2638" s="89"/>
      <c r="B2638" s="191"/>
      <c r="E2638" s="94"/>
      <c r="F2638" s="94"/>
      <c r="G2638" s="94"/>
    </row>
    <row r="2639" spans="1:7" x14ac:dyDescent="0.25">
      <c r="A2639" s="89"/>
      <c r="B2639" s="191"/>
      <c r="E2639" s="94"/>
      <c r="F2639" s="94"/>
      <c r="G2639" s="94"/>
    </row>
    <row r="2640" spans="1:7" x14ac:dyDescent="0.25">
      <c r="A2640" s="89"/>
      <c r="B2640" s="191"/>
      <c r="E2640" s="94"/>
      <c r="F2640" s="94"/>
      <c r="G2640" s="94"/>
    </row>
    <row r="2641" spans="1:7" x14ac:dyDescent="0.25">
      <c r="A2641" s="89"/>
      <c r="B2641" s="191"/>
      <c r="E2641" s="94"/>
      <c r="F2641" s="94"/>
      <c r="G2641" s="94"/>
    </row>
    <row r="2642" spans="1:7" x14ac:dyDescent="0.25">
      <c r="A2642" s="89"/>
      <c r="B2642" s="191"/>
      <c r="E2642" s="94"/>
      <c r="F2642" s="94"/>
      <c r="G2642" s="94"/>
    </row>
    <row r="2643" spans="1:7" x14ac:dyDescent="0.25">
      <c r="A2643" s="89"/>
      <c r="B2643" s="191"/>
      <c r="E2643" s="94"/>
      <c r="F2643" s="94"/>
      <c r="G2643" s="94"/>
    </row>
    <row r="2644" spans="1:7" x14ac:dyDescent="0.25">
      <c r="A2644" s="89"/>
      <c r="B2644" s="191"/>
      <c r="E2644" s="94"/>
      <c r="F2644" s="94"/>
      <c r="G2644" s="94"/>
    </row>
    <row r="2645" spans="1:7" x14ac:dyDescent="0.25">
      <c r="A2645" s="89"/>
      <c r="B2645" s="191"/>
      <c r="E2645" s="94"/>
      <c r="F2645" s="94"/>
      <c r="G2645" s="94"/>
    </row>
    <row r="2646" spans="1:7" x14ac:dyDescent="0.25">
      <c r="A2646" s="89"/>
      <c r="B2646" s="191"/>
      <c r="E2646" s="94"/>
      <c r="F2646" s="94"/>
      <c r="G2646" s="94"/>
    </row>
    <row r="2647" spans="1:7" x14ac:dyDescent="0.25">
      <c r="A2647" s="89"/>
      <c r="B2647" s="191"/>
      <c r="E2647" s="94"/>
      <c r="F2647" s="94"/>
      <c r="G2647" s="94"/>
    </row>
    <row r="2648" spans="1:7" x14ac:dyDescent="0.25">
      <c r="A2648" s="89"/>
      <c r="B2648" s="191"/>
      <c r="E2648" s="94"/>
      <c r="F2648" s="94"/>
      <c r="G2648" s="94"/>
    </row>
    <row r="2649" spans="1:7" x14ac:dyDescent="0.25">
      <c r="A2649" s="89"/>
      <c r="B2649" s="191"/>
      <c r="E2649" s="94"/>
      <c r="F2649" s="94"/>
      <c r="G2649" s="94"/>
    </row>
    <row r="2650" spans="1:7" x14ac:dyDescent="0.25">
      <c r="A2650" s="89"/>
      <c r="B2650" s="191"/>
      <c r="E2650" s="94"/>
      <c r="F2650" s="94"/>
      <c r="G2650" s="94"/>
    </row>
    <row r="2651" spans="1:7" x14ac:dyDescent="0.25">
      <c r="A2651" s="89"/>
      <c r="B2651" s="191"/>
      <c r="E2651" s="94"/>
      <c r="F2651" s="94"/>
      <c r="G2651" s="94"/>
    </row>
    <row r="2652" spans="1:7" x14ac:dyDescent="0.25">
      <c r="A2652" s="89"/>
      <c r="B2652" s="191"/>
      <c r="E2652" s="94"/>
      <c r="F2652" s="94"/>
      <c r="G2652" s="94"/>
    </row>
    <row r="2653" spans="1:7" x14ac:dyDescent="0.25">
      <c r="A2653" s="89"/>
      <c r="B2653" s="191"/>
      <c r="E2653" s="94"/>
      <c r="F2653" s="94"/>
      <c r="G2653" s="94"/>
    </row>
    <row r="2654" spans="1:7" x14ac:dyDescent="0.25">
      <c r="A2654" s="89"/>
      <c r="B2654" s="191"/>
      <c r="E2654" s="94"/>
      <c r="F2654" s="94"/>
      <c r="G2654" s="94"/>
    </row>
    <row r="2655" spans="1:7" x14ac:dyDescent="0.25">
      <c r="A2655" s="89"/>
      <c r="B2655" s="191"/>
      <c r="E2655" s="94"/>
      <c r="F2655" s="94"/>
      <c r="G2655" s="94"/>
    </row>
    <row r="2656" spans="1:7" x14ac:dyDescent="0.25">
      <c r="A2656" s="89"/>
      <c r="B2656" s="191"/>
      <c r="E2656" s="94"/>
      <c r="F2656" s="94"/>
      <c r="G2656" s="94"/>
    </row>
    <row r="2657" spans="1:7" x14ac:dyDescent="0.25">
      <c r="A2657" s="89"/>
      <c r="B2657" s="191"/>
      <c r="E2657" s="94"/>
      <c r="F2657" s="94"/>
      <c r="G2657" s="94"/>
    </row>
    <row r="2658" spans="1:7" x14ac:dyDescent="0.25">
      <c r="A2658" s="89"/>
      <c r="B2658" s="191"/>
      <c r="E2658" s="94"/>
      <c r="F2658" s="94"/>
      <c r="G2658" s="94"/>
    </row>
    <row r="2659" spans="1:7" x14ac:dyDescent="0.25">
      <c r="A2659" s="89"/>
      <c r="B2659" s="191"/>
      <c r="E2659" s="94"/>
      <c r="F2659" s="94"/>
      <c r="G2659" s="94"/>
    </row>
    <row r="2660" spans="1:7" x14ac:dyDescent="0.25">
      <c r="A2660" s="89"/>
      <c r="B2660" s="191"/>
      <c r="E2660" s="94"/>
      <c r="F2660" s="94"/>
      <c r="G2660" s="94"/>
    </row>
    <row r="2661" spans="1:7" x14ac:dyDescent="0.25">
      <c r="A2661" s="89"/>
      <c r="B2661" s="191"/>
      <c r="E2661" s="94"/>
      <c r="F2661" s="94"/>
      <c r="G2661" s="94"/>
    </row>
    <row r="2662" spans="1:7" x14ac:dyDescent="0.25">
      <c r="A2662" s="89"/>
      <c r="B2662" s="191"/>
      <c r="E2662" s="94"/>
      <c r="F2662" s="94"/>
      <c r="G2662" s="94"/>
    </row>
    <row r="2663" spans="1:7" x14ac:dyDescent="0.25">
      <c r="A2663" s="89"/>
      <c r="B2663" s="191"/>
      <c r="E2663" s="94"/>
      <c r="F2663" s="94"/>
      <c r="G2663" s="94"/>
    </row>
    <row r="2664" spans="1:7" x14ac:dyDescent="0.25">
      <c r="A2664" s="89"/>
      <c r="B2664" s="191"/>
      <c r="E2664" s="94"/>
      <c r="F2664" s="94"/>
      <c r="G2664" s="94"/>
    </row>
    <row r="2665" spans="1:7" x14ac:dyDescent="0.25">
      <c r="A2665" s="89"/>
      <c r="B2665" s="191"/>
      <c r="E2665" s="94"/>
      <c r="F2665" s="94"/>
      <c r="G2665" s="94"/>
    </row>
    <row r="2666" spans="1:7" x14ac:dyDescent="0.25">
      <c r="A2666" s="89"/>
      <c r="B2666" s="191"/>
      <c r="E2666" s="94"/>
      <c r="F2666" s="94"/>
      <c r="G2666" s="94"/>
    </row>
    <row r="2667" spans="1:7" x14ac:dyDescent="0.25">
      <c r="A2667" s="89"/>
      <c r="B2667" s="191"/>
      <c r="E2667" s="94"/>
      <c r="F2667" s="94"/>
      <c r="G2667" s="94"/>
    </row>
    <row r="2668" spans="1:7" x14ac:dyDescent="0.25">
      <c r="A2668" s="89"/>
      <c r="B2668" s="191"/>
      <c r="E2668" s="94"/>
      <c r="F2668" s="94"/>
      <c r="G2668" s="94"/>
    </row>
    <row r="2669" spans="1:7" x14ac:dyDescent="0.25">
      <c r="A2669" s="89"/>
      <c r="B2669" s="191"/>
      <c r="E2669" s="94"/>
      <c r="F2669" s="94"/>
      <c r="G2669" s="94"/>
    </row>
    <row r="2670" spans="1:7" x14ac:dyDescent="0.25">
      <c r="A2670" s="89"/>
      <c r="B2670" s="191"/>
      <c r="E2670" s="94"/>
      <c r="F2670" s="94"/>
      <c r="G2670" s="94"/>
    </row>
    <row r="2671" spans="1:7" x14ac:dyDescent="0.25">
      <c r="A2671" s="89"/>
      <c r="B2671" s="191"/>
      <c r="E2671" s="94"/>
      <c r="F2671" s="94"/>
      <c r="G2671" s="94"/>
    </row>
    <row r="2672" spans="1:7" x14ac:dyDescent="0.25">
      <c r="A2672" s="89"/>
      <c r="B2672" s="191"/>
      <c r="E2672" s="94"/>
      <c r="F2672" s="94"/>
      <c r="G2672" s="94"/>
    </row>
    <row r="2673" spans="1:7" x14ac:dyDescent="0.25">
      <c r="A2673" s="89"/>
      <c r="B2673" s="191"/>
      <c r="E2673" s="94"/>
      <c r="F2673" s="94"/>
      <c r="G2673" s="94"/>
    </row>
    <row r="2674" spans="1:7" x14ac:dyDescent="0.25">
      <c r="A2674" s="89"/>
      <c r="B2674" s="191"/>
      <c r="E2674" s="94"/>
      <c r="F2674" s="94"/>
      <c r="G2674" s="94"/>
    </row>
    <row r="2675" spans="1:7" x14ac:dyDescent="0.25">
      <c r="A2675" s="89"/>
      <c r="B2675" s="191"/>
      <c r="E2675" s="94"/>
      <c r="F2675" s="94"/>
      <c r="G2675" s="94"/>
    </row>
    <row r="2676" spans="1:7" x14ac:dyDescent="0.25">
      <c r="A2676" s="89"/>
      <c r="B2676" s="191"/>
      <c r="E2676" s="94"/>
      <c r="F2676" s="94"/>
      <c r="G2676" s="94"/>
    </row>
    <row r="2677" spans="1:7" x14ac:dyDescent="0.25">
      <c r="A2677" s="89"/>
      <c r="B2677" s="191"/>
      <c r="E2677" s="94"/>
      <c r="F2677" s="94"/>
      <c r="G2677" s="94"/>
    </row>
    <row r="2678" spans="1:7" x14ac:dyDescent="0.25">
      <c r="A2678" s="89"/>
      <c r="B2678" s="191"/>
      <c r="E2678" s="94"/>
      <c r="F2678" s="94"/>
      <c r="G2678" s="94"/>
    </row>
    <row r="2679" spans="1:7" x14ac:dyDescent="0.25">
      <c r="A2679" s="89"/>
      <c r="B2679" s="191"/>
      <c r="E2679" s="94"/>
      <c r="F2679" s="94"/>
      <c r="G2679" s="94"/>
    </row>
    <row r="2680" spans="1:7" x14ac:dyDescent="0.25">
      <c r="A2680" s="89"/>
      <c r="B2680" s="191"/>
      <c r="E2680" s="94"/>
      <c r="F2680" s="94"/>
      <c r="G2680" s="94"/>
    </row>
    <row r="2681" spans="1:7" x14ac:dyDescent="0.25">
      <c r="A2681" s="89"/>
      <c r="B2681" s="191"/>
      <c r="E2681" s="94"/>
      <c r="F2681" s="94"/>
      <c r="G2681" s="94"/>
    </row>
    <row r="2682" spans="1:7" x14ac:dyDescent="0.25">
      <c r="A2682" s="89"/>
      <c r="B2682" s="191"/>
      <c r="E2682" s="94"/>
      <c r="F2682" s="94"/>
      <c r="G2682" s="94"/>
    </row>
    <row r="2683" spans="1:7" x14ac:dyDescent="0.25">
      <c r="A2683" s="89"/>
      <c r="B2683" s="191"/>
      <c r="E2683" s="94"/>
      <c r="F2683" s="94"/>
      <c r="G2683" s="94"/>
    </row>
    <row r="2684" spans="1:7" x14ac:dyDescent="0.25">
      <c r="A2684" s="89"/>
      <c r="B2684" s="191"/>
      <c r="E2684" s="94"/>
      <c r="F2684" s="94"/>
      <c r="G2684" s="94"/>
    </row>
    <row r="2685" spans="1:7" x14ac:dyDescent="0.25">
      <c r="A2685" s="89"/>
      <c r="B2685" s="191"/>
      <c r="E2685" s="94"/>
      <c r="F2685" s="94"/>
      <c r="G2685" s="94"/>
    </row>
    <row r="2686" spans="1:7" x14ac:dyDescent="0.25">
      <c r="A2686" s="89"/>
      <c r="B2686" s="191"/>
      <c r="E2686" s="94"/>
      <c r="F2686" s="94"/>
      <c r="G2686" s="94"/>
    </row>
    <row r="2687" spans="1:7" x14ac:dyDescent="0.25">
      <c r="A2687" s="89"/>
      <c r="B2687" s="191"/>
      <c r="E2687" s="94"/>
      <c r="F2687" s="94"/>
      <c r="G2687" s="94"/>
    </row>
    <row r="2688" spans="1:7" x14ac:dyDescent="0.25">
      <c r="A2688" s="89"/>
      <c r="B2688" s="191"/>
      <c r="E2688" s="94"/>
      <c r="F2688" s="94"/>
      <c r="G2688" s="94"/>
    </row>
    <row r="2689" spans="1:7" x14ac:dyDescent="0.25">
      <c r="A2689" s="89"/>
      <c r="B2689" s="191"/>
      <c r="E2689" s="94"/>
      <c r="F2689" s="94"/>
      <c r="G2689" s="94"/>
    </row>
    <row r="2690" spans="1:7" x14ac:dyDescent="0.25">
      <c r="A2690" s="89"/>
      <c r="B2690" s="191"/>
      <c r="E2690" s="94"/>
      <c r="F2690" s="94"/>
      <c r="G2690" s="94"/>
    </row>
    <row r="2691" spans="1:7" x14ac:dyDescent="0.25">
      <c r="A2691" s="89"/>
      <c r="B2691" s="191"/>
      <c r="E2691" s="94"/>
      <c r="F2691" s="94"/>
      <c r="G2691" s="94"/>
    </row>
    <row r="2692" spans="1:7" x14ac:dyDescent="0.25">
      <c r="A2692" s="89"/>
      <c r="B2692" s="191"/>
      <c r="E2692" s="94"/>
      <c r="F2692" s="94"/>
      <c r="G2692" s="94"/>
    </row>
    <row r="2693" spans="1:7" x14ac:dyDescent="0.25">
      <c r="A2693" s="89"/>
      <c r="B2693" s="191"/>
      <c r="E2693" s="94"/>
      <c r="F2693" s="94"/>
      <c r="G2693" s="94"/>
    </row>
    <row r="2694" spans="1:7" x14ac:dyDescent="0.25">
      <c r="A2694" s="89"/>
      <c r="B2694" s="191"/>
      <c r="E2694" s="94"/>
      <c r="F2694" s="94"/>
      <c r="G2694" s="94"/>
    </row>
    <row r="2695" spans="1:7" x14ac:dyDescent="0.25">
      <c r="A2695" s="89"/>
      <c r="B2695" s="191"/>
      <c r="E2695" s="94"/>
      <c r="F2695" s="94"/>
      <c r="G2695" s="94"/>
    </row>
    <row r="2696" spans="1:7" x14ac:dyDescent="0.25">
      <c r="A2696" s="89"/>
      <c r="B2696" s="191"/>
      <c r="E2696" s="94"/>
      <c r="F2696" s="94"/>
      <c r="G2696" s="94"/>
    </row>
    <row r="2697" spans="1:7" x14ac:dyDescent="0.25">
      <c r="A2697" s="89"/>
      <c r="B2697" s="191"/>
      <c r="E2697" s="94"/>
      <c r="F2697" s="94"/>
      <c r="G2697" s="94"/>
    </row>
    <row r="2698" spans="1:7" x14ac:dyDescent="0.25">
      <c r="A2698" s="89"/>
      <c r="B2698" s="191"/>
      <c r="E2698" s="94"/>
      <c r="F2698" s="94"/>
      <c r="G2698" s="94"/>
    </row>
    <row r="2699" spans="1:7" x14ac:dyDescent="0.25">
      <c r="A2699" s="89"/>
      <c r="B2699" s="191"/>
      <c r="E2699" s="94"/>
      <c r="F2699" s="94"/>
      <c r="G2699" s="94"/>
    </row>
    <row r="2700" spans="1:7" x14ac:dyDescent="0.25">
      <c r="A2700" s="89"/>
      <c r="B2700" s="191"/>
      <c r="E2700" s="94"/>
      <c r="F2700" s="94"/>
      <c r="G2700" s="94"/>
    </row>
    <row r="2701" spans="1:7" x14ac:dyDescent="0.25">
      <c r="A2701" s="89"/>
      <c r="B2701" s="191"/>
      <c r="E2701" s="94"/>
      <c r="F2701" s="94"/>
      <c r="G2701" s="94"/>
    </row>
    <row r="2702" spans="1:7" x14ac:dyDescent="0.25">
      <c r="A2702" s="89"/>
      <c r="B2702" s="191"/>
      <c r="E2702" s="94"/>
      <c r="F2702" s="94"/>
      <c r="G2702" s="94"/>
    </row>
    <row r="2703" spans="1:7" x14ac:dyDescent="0.25">
      <c r="A2703" s="89"/>
      <c r="B2703" s="191"/>
      <c r="E2703" s="94"/>
      <c r="F2703" s="94"/>
      <c r="G2703" s="94"/>
    </row>
    <row r="2704" spans="1:7" x14ac:dyDescent="0.25">
      <c r="A2704" s="89"/>
      <c r="B2704" s="191"/>
      <c r="E2704" s="94"/>
      <c r="F2704" s="94"/>
      <c r="G2704" s="94"/>
    </row>
    <row r="2705" spans="1:7" x14ac:dyDescent="0.25">
      <c r="A2705" s="89"/>
      <c r="B2705" s="191"/>
      <c r="E2705" s="94"/>
      <c r="F2705" s="94"/>
      <c r="G2705" s="94"/>
    </row>
    <row r="2706" spans="1:7" x14ac:dyDescent="0.25">
      <c r="A2706" s="89"/>
      <c r="B2706" s="191"/>
      <c r="E2706" s="94"/>
      <c r="F2706" s="94"/>
      <c r="G2706" s="94"/>
    </row>
    <row r="2707" spans="1:7" x14ac:dyDescent="0.25">
      <c r="A2707" s="89"/>
      <c r="B2707" s="191"/>
      <c r="E2707" s="94"/>
      <c r="F2707" s="94"/>
      <c r="G2707" s="94"/>
    </row>
    <row r="2708" spans="1:7" x14ac:dyDescent="0.25">
      <c r="A2708" s="89"/>
      <c r="B2708" s="191"/>
      <c r="E2708" s="94"/>
      <c r="F2708" s="94"/>
      <c r="G2708" s="94"/>
    </row>
    <row r="2709" spans="1:7" x14ac:dyDescent="0.25">
      <c r="A2709" s="89"/>
      <c r="B2709" s="191"/>
      <c r="E2709" s="94"/>
      <c r="F2709" s="94"/>
      <c r="G2709" s="94"/>
    </row>
    <row r="2710" spans="1:7" x14ac:dyDescent="0.25">
      <c r="A2710" s="89"/>
      <c r="B2710" s="191"/>
      <c r="E2710" s="94"/>
      <c r="F2710" s="94"/>
      <c r="G2710" s="94"/>
    </row>
    <row r="2711" spans="1:7" x14ac:dyDescent="0.25">
      <c r="A2711" s="89"/>
      <c r="B2711" s="191"/>
      <c r="E2711" s="94"/>
      <c r="F2711" s="94"/>
      <c r="G2711" s="94"/>
    </row>
    <row r="2712" spans="1:7" x14ac:dyDescent="0.25">
      <c r="A2712" s="89"/>
      <c r="B2712" s="191"/>
      <c r="E2712" s="94"/>
      <c r="F2712" s="94"/>
      <c r="G2712" s="94"/>
    </row>
    <row r="2713" spans="1:7" x14ac:dyDescent="0.25">
      <c r="A2713" s="89"/>
      <c r="B2713" s="191"/>
      <c r="E2713" s="94"/>
      <c r="F2713" s="94"/>
      <c r="G2713" s="94"/>
    </row>
    <row r="2714" spans="1:7" x14ac:dyDescent="0.25">
      <c r="A2714" s="89"/>
      <c r="B2714" s="191"/>
      <c r="E2714" s="94"/>
      <c r="F2714" s="94"/>
      <c r="G2714" s="94"/>
    </row>
    <row r="2715" spans="1:7" x14ac:dyDescent="0.25">
      <c r="A2715" s="89"/>
      <c r="B2715" s="191"/>
      <c r="E2715" s="94"/>
      <c r="F2715" s="94"/>
      <c r="G2715" s="94"/>
    </row>
    <row r="2716" spans="1:7" x14ac:dyDescent="0.25">
      <c r="A2716" s="89"/>
      <c r="B2716" s="191"/>
      <c r="E2716" s="94"/>
      <c r="F2716" s="94"/>
      <c r="G2716" s="94"/>
    </row>
    <row r="2717" spans="1:7" x14ac:dyDescent="0.25">
      <c r="A2717" s="89"/>
      <c r="B2717" s="191"/>
      <c r="E2717" s="94"/>
      <c r="F2717" s="94"/>
      <c r="G2717" s="94"/>
    </row>
    <row r="2718" spans="1:7" x14ac:dyDescent="0.25">
      <c r="A2718" s="89"/>
      <c r="B2718" s="191"/>
      <c r="E2718" s="94"/>
      <c r="F2718" s="94"/>
      <c r="G2718" s="94"/>
    </row>
    <row r="2719" spans="1:7" x14ac:dyDescent="0.25">
      <c r="A2719" s="89"/>
      <c r="B2719" s="191"/>
      <c r="E2719" s="94"/>
      <c r="F2719" s="94"/>
      <c r="G2719" s="94"/>
    </row>
    <row r="2720" spans="1:7" x14ac:dyDescent="0.25">
      <c r="A2720" s="89"/>
      <c r="B2720" s="191"/>
      <c r="E2720" s="94"/>
      <c r="F2720" s="94"/>
      <c r="G2720" s="94"/>
    </row>
    <row r="2721" spans="1:7" x14ac:dyDescent="0.25">
      <c r="A2721" s="89"/>
      <c r="B2721" s="191"/>
      <c r="E2721" s="94"/>
      <c r="F2721" s="94"/>
      <c r="G2721" s="94"/>
    </row>
    <row r="2722" spans="1:7" x14ac:dyDescent="0.25">
      <c r="A2722" s="89"/>
      <c r="B2722" s="191"/>
      <c r="E2722" s="94"/>
      <c r="F2722" s="94"/>
      <c r="G2722" s="94"/>
    </row>
    <row r="2723" spans="1:7" x14ac:dyDescent="0.25">
      <c r="A2723" s="89"/>
      <c r="B2723" s="191"/>
      <c r="E2723" s="94"/>
      <c r="F2723" s="94"/>
      <c r="G2723" s="94"/>
    </row>
    <row r="2724" spans="1:7" x14ac:dyDescent="0.25">
      <c r="A2724" s="89"/>
      <c r="B2724" s="191"/>
      <c r="E2724" s="94"/>
      <c r="F2724" s="94"/>
      <c r="G2724" s="94"/>
    </row>
    <row r="2725" spans="1:7" x14ac:dyDescent="0.25">
      <c r="A2725" s="89"/>
      <c r="B2725" s="191"/>
      <c r="E2725" s="94"/>
      <c r="F2725" s="94"/>
      <c r="G2725" s="94"/>
    </row>
    <row r="2726" spans="1:7" x14ac:dyDescent="0.25">
      <c r="A2726" s="89"/>
      <c r="B2726" s="191"/>
      <c r="E2726" s="94"/>
      <c r="F2726" s="94"/>
      <c r="G2726" s="94"/>
    </row>
    <row r="2727" spans="1:7" x14ac:dyDescent="0.25">
      <c r="A2727" s="89"/>
      <c r="B2727" s="191"/>
      <c r="E2727" s="94"/>
      <c r="F2727" s="94"/>
      <c r="G2727" s="94"/>
    </row>
    <row r="2728" spans="1:7" x14ac:dyDescent="0.25">
      <c r="A2728" s="89"/>
      <c r="B2728" s="191"/>
      <c r="E2728" s="94"/>
      <c r="F2728" s="94"/>
      <c r="G2728" s="94"/>
    </row>
    <row r="2729" spans="1:7" x14ac:dyDescent="0.25">
      <c r="A2729" s="89"/>
      <c r="B2729" s="191"/>
      <c r="E2729" s="94"/>
      <c r="F2729" s="94"/>
      <c r="G2729" s="94"/>
    </row>
    <row r="2730" spans="1:7" x14ac:dyDescent="0.25">
      <c r="A2730" s="89"/>
      <c r="B2730" s="191"/>
      <c r="E2730" s="94"/>
      <c r="F2730" s="94"/>
      <c r="G2730" s="94"/>
    </row>
    <row r="2731" spans="1:7" x14ac:dyDescent="0.25">
      <c r="A2731" s="89"/>
      <c r="B2731" s="191"/>
      <c r="E2731" s="94"/>
      <c r="F2731" s="94"/>
      <c r="G2731" s="94"/>
    </row>
    <row r="2732" spans="1:7" x14ac:dyDescent="0.25">
      <c r="A2732" s="89"/>
      <c r="B2732" s="191"/>
      <c r="E2732" s="94"/>
      <c r="F2732" s="94"/>
      <c r="G2732" s="94"/>
    </row>
    <row r="2733" spans="1:7" x14ac:dyDescent="0.25">
      <c r="A2733" s="89"/>
      <c r="B2733" s="191"/>
      <c r="E2733" s="94"/>
      <c r="F2733" s="94"/>
      <c r="G2733" s="94"/>
    </row>
    <row r="2734" spans="1:7" x14ac:dyDescent="0.25">
      <c r="A2734" s="89"/>
      <c r="B2734" s="191"/>
      <c r="E2734" s="94"/>
      <c r="F2734" s="94"/>
      <c r="G2734" s="94"/>
    </row>
    <row r="2735" spans="1:7" x14ac:dyDescent="0.25">
      <c r="A2735" s="89"/>
      <c r="B2735" s="191"/>
      <c r="E2735" s="94"/>
      <c r="F2735" s="94"/>
      <c r="G2735" s="94"/>
    </row>
    <row r="2736" spans="1:7" x14ac:dyDescent="0.25">
      <c r="A2736" s="89"/>
      <c r="B2736" s="191"/>
      <c r="E2736" s="94"/>
      <c r="F2736" s="94"/>
      <c r="G2736" s="94"/>
    </row>
    <row r="2737" spans="1:7" x14ac:dyDescent="0.25">
      <c r="A2737" s="89"/>
      <c r="B2737" s="191"/>
      <c r="E2737" s="94"/>
      <c r="F2737" s="94"/>
      <c r="G2737" s="94"/>
    </row>
    <row r="2738" spans="1:7" x14ac:dyDescent="0.25">
      <c r="A2738" s="89"/>
      <c r="B2738" s="191"/>
      <c r="E2738" s="94"/>
      <c r="F2738" s="94"/>
      <c r="G2738" s="94"/>
    </row>
    <row r="2739" spans="1:7" x14ac:dyDescent="0.25">
      <c r="A2739" s="89"/>
      <c r="B2739" s="191"/>
      <c r="E2739" s="94"/>
      <c r="F2739" s="94"/>
      <c r="G2739" s="94"/>
    </row>
    <row r="2740" spans="1:7" x14ac:dyDescent="0.25">
      <c r="A2740" s="89"/>
      <c r="B2740" s="191"/>
      <c r="E2740" s="94"/>
      <c r="F2740" s="94"/>
      <c r="G2740" s="94"/>
    </row>
    <row r="2741" spans="1:7" x14ac:dyDescent="0.25">
      <c r="A2741" s="89"/>
      <c r="B2741" s="191"/>
      <c r="E2741" s="94"/>
      <c r="F2741" s="94"/>
      <c r="G2741" s="94"/>
    </row>
    <row r="2742" spans="1:7" x14ac:dyDescent="0.25">
      <c r="A2742" s="89"/>
      <c r="B2742" s="191"/>
      <c r="E2742" s="94"/>
      <c r="F2742" s="94"/>
      <c r="G2742" s="94"/>
    </row>
    <row r="2743" spans="1:7" x14ac:dyDescent="0.25">
      <c r="A2743" s="89"/>
      <c r="B2743" s="191"/>
      <c r="E2743" s="94"/>
      <c r="F2743" s="94"/>
      <c r="G2743" s="94"/>
    </row>
    <row r="2744" spans="1:7" x14ac:dyDescent="0.25">
      <c r="A2744" s="89"/>
      <c r="B2744" s="191"/>
      <c r="E2744" s="94"/>
      <c r="F2744" s="94"/>
      <c r="G2744" s="94"/>
    </row>
    <row r="2745" spans="1:7" x14ac:dyDescent="0.25">
      <c r="A2745" s="89"/>
      <c r="B2745" s="191"/>
      <c r="E2745" s="94"/>
      <c r="F2745" s="94"/>
      <c r="G2745" s="94"/>
    </row>
    <row r="2746" spans="1:7" x14ac:dyDescent="0.25">
      <c r="A2746" s="89"/>
      <c r="B2746" s="191"/>
      <c r="E2746" s="94"/>
      <c r="F2746" s="94"/>
      <c r="G2746" s="94"/>
    </row>
    <row r="2747" spans="1:7" x14ac:dyDescent="0.25">
      <c r="A2747" s="89"/>
      <c r="B2747" s="191"/>
      <c r="E2747" s="94"/>
      <c r="F2747" s="94"/>
      <c r="G2747" s="94"/>
    </row>
    <row r="2748" spans="1:7" x14ac:dyDescent="0.25">
      <c r="A2748" s="89"/>
      <c r="B2748" s="191"/>
      <c r="E2748" s="94"/>
      <c r="F2748" s="94"/>
      <c r="G2748" s="94"/>
    </row>
    <row r="2749" spans="1:7" x14ac:dyDescent="0.25">
      <c r="A2749" s="89"/>
      <c r="B2749" s="191"/>
      <c r="E2749" s="94"/>
      <c r="F2749" s="94"/>
      <c r="G2749" s="94"/>
    </row>
    <row r="2750" spans="1:7" x14ac:dyDescent="0.25">
      <c r="A2750" s="89"/>
      <c r="B2750" s="191"/>
      <c r="E2750" s="94"/>
      <c r="F2750" s="94"/>
      <c r="G2750" s="94"/>
    </row>
    <row r="2751" spans="1:7" x14ac:dyDescent="0.25">
      <c r="A2751" s="89"/>
      <c r="B2751" s="191"/>
      <c r="E2751" s="94"/>
      <c r="F2751" s="94"/>
      <c r="G2751" s="94"/>
    </row>
    <row r="2752" spans="1:7" x14ac:dyDescent="0.25">
      <c r="A2752" s="89"/>
      <c r="B2752" s="191"/>
      <c r="E2752" s="94"/>
      <c r="F2752" s="94"/>
      <c r="G2752" s="94"/>
    </row>
    <row r="2753" spans="1:7" x14ac:dyDescent="0.25">
      <c r="A2753" s="89"/>
      <c r="B2753" s="191"/>
      <c r="E2753" s="94"/>
      <c r="F2753" s="94"/>
      <c r="G2753" s="94"/>
    </row>
    <row r="2754" spans="1:7" x14ac:dyDescent="0.25">
      <c r="A2754" s="89"/>
      <c r="B2754" s="191"/>
      <c r="E2754" s="94"/>
      <c r="F2754" s="94"/>
      <c r="G2754" s="94"/>
    </row>
    <row r="2755" spans="1:7" x14ac:dyDescent="0.25">
      <c r="A2755" s="89"/>
      <c r="B2755" s="191"/>
      <c r="E2755" s="94"/>
      <c r="F2755" s="94"/>
      <c r="G2755" s="94"/>
    </row>
    <row r="2756" spans="1:7" x14ac:dyDescent="0.25">
      <c r="A2756" s="89"/>
      <c r="B2756" s="191"/>
      <c r="E2756" s="94"/>
      <c r="F2756" s="94"/>
      <c r="G2756" s="94"/>
    </row>
    <row r="2757" spans="1:7" x14ac:dyDescent="0.25">
      <c r="A2757" s="89"/>
      <c r="B2757" s="191"/>
      <c r="E2757" s="94"/>
      <c r="F2757" s="94"/>
      <c r="G2757" s="94"/>
    </row>
    <row r="2758" spans="1:7" x14ac:dyDescent="0.25">
      <c r="A2758" s="89"/>
      <c r="B2758" s="191"/>
      <c r="E2758" s="94"/>
      <c r="F2758" s="94"/>
      <c r="G2758" s="94"/>
    </row>
    <row r="2759" spans="1:7" x14ac:dyDescent="0.25">
      <c r="A2759" s="89"/>
      <c r="B2759" s="191"/>
      <c r="E2759" s="94"/>
      <c r="F2759" s="94"/>
      <c r="G2759" s="94"/>
    </row>
    <row r="2760" spans="1:7" x14ac:dyDescent="0.25">
      <c r="A2760" s="89"/>
      <c r="B2760" s="191"/>
      <c r="E2760" s="94"/>
      <c r="F2760" s="94"/>
      <c r="G2760" s="94"/>
    </row>
    <row r="2761" spans="1:7" x14ac:dyDescent="0.25">
      <c r="A2761" s="89"/>
      <c r="B2761" s="191"/>
      <c r="E2761" s="94"/>
      <c r="F2761" s="94"/>
      <c r="G2761" s="94"/>
    </row>
    <row r="2762" spans="1:7" x14ac:dyDescent="0.25">
      <c r="A2762" s="89"/>
      <c r="B2762" s="191"/>
      <c r="E2762" s="94"/>
      <c r="F2762" s="94"/>
      <c r="G2762" s="94"/>
    </row>
    <row r="2763" spans="1:7" x14ac:dyDescent="0.25">
      <c r="A2763" s="89"/>
      <c r="B2763" s="191"/>
      <c r="E2763" s="94"/>
      <c r="F2763" s="94"/>
      <c r="G2763" s="94"/>
    </row>
    <row r="2764" spans="1:7" x14ac:dyDescent="0.25">
      <c r="A2764" s="89"/>
      <c r="B2764" s="191"/>
      <c r="E2764" s="94"/>
      <c r="F2764" s="94"/>
      <c r="G2764" s="94"/>
    </row>
    <row r="2765" spans="1:7" x14ac:dyDescent="0.25">
      <c r="A2765" s="89"/>
      <c r="B2765" s="191"/>
      <c r="E2765" s="94"/>
      <c r="F2765" s="94"/>
      <c r="G2765" s="94"/>
    </row>
    <row r="2766" spans="1:7" x14ac:dyDescent="0.25">
      <c r="A2766" s="89"/>
      <c r="B2766" s="191"/>
      <c r="E2766" s="94"/>
      <c r="F2766" s="94"/>
      <c r="G2766" s="94"/>
    </row>
    <row r="2767" spans="1:7" x14ac:dyDescent="0.25">
      <c r="A2767" s="89"/>
      <c r="B2767" s="191"/>
      <c r="E2767" s="94"/>
      <c r="F2767" s="94"/>
      <c r="G2767" s="94"/>
    </row>
    <row r="2768" spans="1:7" x14ac:dyDescent="0.25">
      <c r="A2768" s="89"/>
      <c r="B2768" s="191"/>
      <c r="E2768" s="94"/>
      <c r="F2768" s="94"/>
      <c r="G2768" s="94"/>
    </row>
    <row r="2769" spans="1:7" x14ac:dyDescent="0.25">
      <c r="A2769" s="89"/>
      <c r="B2769" s="191"/>
      <c r="E2769" s="94"/>
      <c r="F2769" s="94"/>
      <c r="G2769" s="94"/>
    </row>
    <row r="2770" spans="1:7" x14ac:dyDescent="0.25">
      <c r="A2770" s="89"/>
      <c r="B2770" s="191"/>
      <c r="E2770" s="94"/>
      <c r="F2770" s="94"/>
      <c r="G2770" s="94"/>
    </row>
    <row r="2771" spans="1:7" x14ac:dyDescent="0.25">
      <c r="A2771" s="89"/>
      <c r="B2771" s="191"/>
      <c r="E2771" s="94"/>
      <c r="F2771" s="94"/>
      <c r="G2771" s="94"/>
    </row>
    <row r="2772" spans="1:7" x14ac:dyDescent="0.25">
      <c r="A2772" s="89"/>
      <c r="B2772" s="191"/>
      <c r="E2772" s="94"/>
      <c r="F2772" s="94"/>
      <c r="G2772" s="94"/>
    </row>
    <row r="2773" spans="1:7" x14ac:dyDescent="0.25">
      <c r="A2773" s="89"/>
      <c r="B2773" s="191"/>
      <c r="E2773" s="94"/>
      <c r="F2773" s="94"/>
      <c r="G2773" s="94"/>
    </row>
    <row r="2774" spans="1:7" x14ac:dyDescent="0.25">
      <c r="A2774" s="89"/>
      <c r="B2774" s="191"/>
      <c r="E2774" s="94"/>
      <c r="F2774" s="94"/>
      <c r="G2774" s="94"/>
    </row>
    <row r="2775" spans="1:7" x14ac:dyDescent="0.25">
      <c r="A2775" s="89"/>
      <c r="B2775" s="191"/>
      <c r="E2775" s="94"/>
      <c r="F2775" s="94"/>
      <c r="G2775" s="94"/>
    </row>
    <row r="2776" spans="1:7" x14ac:dyDescent="0.25">
      <c r="A2776" s="89"/>
      <c r="B2776" s="191"/>
      <c r="E2776" s="94"/>
      <c r="F2776" s="94"/>
      <c r="G2776" s="94"/>
    </row>
    <row r="2777" spans="1:7" x14ac:dyDescent="0.25">
      <c r="A2777" s="89"/>
      <c r="B2777" s="191"/>
      <c r="E2777" s="94"/>
      <c r="F2777" s="94"/>
      <c r="G2777" s="94"/>
    </row>
    <row r="2778" spans="1:7" x14ac:dyDescent="0.25">
      <c r="A2778" s="89"/>
      <c r="B2778" s="191"/>
      <c r="E2778" s="94"/>
      <c r="F2778" s="94"/>
      <c r="G2778" s="94"/>
    </row>
    <row r="2779" spans="1:7" x14ac:dyDescent="0.25">
      <c r="A2779" s="89"/>
      <c r="B2779" s="191"/>
      <c r="E2779" s="94"/>
      <c r="F2779" s="94"/>
      <c r="G2779" s="94"/>
    </row>
    <row r="2780" spans="1:7" x14ac:dyDescent="0.25">
      <c r="A2780" s="89"/>
      <c r="B2780" s="191"/>
      <c r="E2780" s="94"/>
      <c r="F2780" s="94"/>
      <c r="G2780" s="94"/>
    </row>
    <row r="2781" spans="1:7" x14ac:dyDescent="0.25">
      <c r="A2781" s="89"/>
      <c r="B2781" s="191"/>
      <c r="E2781" s="94"/>
      <c r="F2781" s="94"/>
      <c r="G2781" s="94"/>
    </row>
    <row r="2782" spans="1:7" x14ac:dyDescent="0.25">
      <c r="A2782" s="89"/>
      <c r="B2782" s="191"/>
      <c r="E2782" s="94"/>
      <c r="F2782" s="94"/>
      <c r="G2782" s="94"/>
    </row>
    <row r="2783" spans="1:7" x14ac:dyDescent="0.25">
      <c r="A2783" s="89"/>
      <c r="B2783" s="191"/>
      <c r="E2783" s="94"/>
      <c r="F2783" s="94"/>
      <c r="G2783" s="94"/>
    </row>
    <row r="2784" spans="1:7" x14ac:dyDescent="0.25">
      <c r="A2784" s="89"/>
      <c r="B2784" s="191"/>
      <c r="E2784" s="94"/>
      <c r="F2784" s="94"/>
      <c r="G2784" s="94"/>
    </row>
    <row r="2785" spans="1:7" x14ac:dyDescent="0.25">
      <c r="A2785" s="89"/>
      <c r="B2785" s="191"/>
      <c r="E2785" s="94"/>
      <c r="F2785" s="94"/>
      <c r="G2785" s="94"/>
    </row>
    <row r="2786" spans="1:7" x14ac:dyDescent="0.25">
      <c r="A2786" s="89"/>
      <c r="B2786" s="191"/>
      <c r="E2786" s="94"/>
      <c r="F2786" s="94"/>
      <c r="G2786" s="94"/>
    </row>
    <row r="2787" spans="1:7" x14ac:dyDescent="0.25">
      <c r="A2787" s="89"/>
      <c r="B2787" s="191"/>
      <c r="E2787" s="94"/>
      <c r="F2787" s="94"/>
      <c r="G2787" s="94"/>
    </row>
    <row r="2788" spans="1:7" x14ac:dyDescent="0.25">
      <c r="A2788" s="89"/>
      <c r="B2788" s="191"/>
      <c r="E2788" s="94"/>
      <c r="F2788" s="94"/>
      <c r="G2788" s="94"/>
    </row>
    <row r="2789" spans="1:7" x14ac:dyDescent="0.25">
      <c r="A2789" s="89"/>
      <c r="B2789" s="191"/>
      <c r="E2789" s="94"/>
      <c r="F2789" s="94"/>
      <c r="G2789" s="94"/>
    </row>
    <row r="2790" spans="1:7" x14ac:dyDescent="0.25">
      <c r="A2790" s="89"/>
      <c r="B2790" s="191"/>
      <c r="E2790" s="94"/>
      <c r="F2790" s="94"/>
      <c r="G2790" s="94"/>
    </row>
    <row r="2791" spans="1:7" x14ac:dyDescent="0.25">
      <c r="A2791" s="89"/>
      <c r="B2791" s="191"/>
      <c r="E2791" s="94"/>
      <c r="F2791" s="94"/>
      <c r="G2791" s="94"/>
    </row>
    <row r="2792" spans="1:7" x14ac:dyDescent="0.25">
      <c r="A2792" s="89"/>
      <c r="B2792" s="191"/>
      <c r="E2792" s="94"/>
      <c r="F2792" s="94"/>
      <c r="G2792" s="94"/>
    </row>
    <row r="2793" spans="1:7" x14ac:dyDescent="0.25">
      <c r="A2793" s="89"/>
      <c r="B2793" s="191"/>
      <c r="E2793" s="94"/>
      <c r="F2793" s="94"/>
      <c r="G2793" s="94"/>
    </row>
    <row r="2794" spans="1:7" x14ac:dyDescent="0.25">
      <c r="A2794" s="89"/>
      <c r="B2794" s="191"/>
      <c r="E2794" s="94"/>
      <c r="F2794" s="94"/>
      <c r="G2794" s="94"/>
    </row>
    <row r="2795" spans="1:7" x14ac:dyDescent="0.25">
      <c r="A2795" s="89"/>
      <c r="B2795" s="191"/>
      <c r="E2795" s="94"/>
      <c r="F2795" s="94"/>
      <c r="G2795" s="94"/>
    </row>
    <row r="2796" spans="1:7" x14ac:dyDescent="0.25">
      <c r="A2796" s="89"/>
      <c r="B2796" s="191"/>
      <c r="E2796" s="94"/>
      <c r="F2796" s="94"/>
      <c r="G2796" s="94"/>
    </row>
    <row r="2797" spans="1:7" x14ac:dyDescent="0.25">
      <c r="A2797" s="89"/>
      <c r="B2797" s="191"/>
      <c r="E2797" s="94"/>
      <c r="F2797" s="94"/>
      <c r="G2797" s="94"/>
    </row>
    <row r="2798" spans="1:7" x14ac:dyDescent="0.25">
      <c r="A2798" s="89"/>
      <c r="B2798" s="191"/>
      <c r="E2798" s="94"/>
      <c r="F2798" s="94"/>
      <c r="G2798" s="94"/>
    </row>
    <row r="2799" spans="1:7" x14ac:dyDescent="0.25">
      <c r="A2799" s="89"/>
      <c r="B2799" s="191"/>
      <c r="E2799" s="94"/>
      <c r="F2799" s="94"/>
      <c r="G2799" s="94"/>
    </row>
    <row r="2800" spans="1:7" x14ac:dyDescent="0.25">
      <c r="A2800" s="89"/>
      <c r="B2800" s="191"/>
      <c r="E2800" s="94"/>
      <c r="F2800" s="94"/>
      <c r="G2800" s="94"/>
    </row>
    <row r="2801" spans="1:7" x14ac:dyDescent="0.25">
      <c r="A2801" s="89"/>
      <c r="B2801" s="191"/>
      <c r="E2801" s="94"/>
      <c r="F2801" s="94"/>
      <c r="G2801" s="94"/>
    </row>
    <row r="2802" spans="1:7" x14ac:dyDescent="0.25">
      <c r="A2802" s="89"/>
      <c r="B2802" s="191"/>
      <c r="E2802" s="94"/>
      <c r="F2802" s="94"/>
      <c r="G2802" s="94"/>
    </row>
    <row r="2803" spans="1:7" x14ac:dyDescent="0.25">
      <c r="A2803" s="89"/>
      <c r="B2803" s="191"/>
      <c r="E2803" s="94"/>
      <c r="F2803" s="94"/>
      <c r="G2803" s="94"/>
    </row>
    <row r="2804" spans="1:7" x14ac:dyDescent="0.25">
      <c r="A2804" s="89"/>
      <c r="B2804" s="191"/>
      <c r="E2804" s="94"/>
      <c r="F2804" s="94"/>
      <c r="G2804" s="94"/>
    </row>
    <row r="2805" spans="1:7" x14ac:dyDescent="0.25">
      <c r="A2805" s="89"/>
      <c r="B2805" s="191"/>
      <c r="E2805" s="94"/>
      <c r="F2805" s="94"/>
      <c r="G2805" s="94"/>
    </row>
    <row r="2806" spans="1:7" x14ac:dyDescent="0.25">
      <c r="A2806" s="89"/>
      <c r="B2806" s="191"/>
      <c r="E2806" s="94"/>
      <c r="F2806" s="94"/>
      <c r="G2806" s="94"/>
    </row>
    <row r="2807" spans="1:7" x14ac:dyDescent="0.25">
      <c r="A2807" s="89"/>
      <c r="B2807" s="191"/>
      <c r="E2807" s="94"/>
      <c r="F2807" s="94"/>
      <c r="G2807" s="94"/>
    </row>
    <row r="2808" spans="1:7" x14ac:dyDescent="0.25">
      <c r="A2808" s="89"/>
      <c r="B2808" s="191"/>
      <c r="E2808" s="94"/>
      <c r="F2808" s="94"/>
      <c r="G2808" s="94"/>
    </row>
    <row r="2809" spans="1:7" x14ac:dyDescent="0.25">
      <c r="A2809" s="89"/>
      <c r="B2809" s="191"/>
      <c r="E2809" s="94"/>
      <c r="F2809" s="94"/>
      <c r="G2809" s="94"/>
    </row>
    <row r="2810" spans="1:7" x14ac:dyDescent="0.25">
      <c r="A2810" s="89"/>
      <c r="B2810" s="191"/>
      <c r="E2810" s="94"/>
      <c r="F2810" s="94"/>
      <c r="G2810" s="94"/>
    </row>
    <row r="2811" spans="1:7" x14ac:dyDescent="0.25">
      <c r="A2811" s="89"/>
      <c r="B2811" s="191"/>
      <c r="E2811" s="94"/>
      <c r="F2811" s="94"/>
      <c r="G2811" s="94"/>
    </row>
    <row r="2812" spans="1:7" x14ac:dyDescent="0.25">
      <c r="A2812" s="89"/>
      <c r="B2812" s="191"/>
      <c r="E2812" s="94"/>
      <c r="F2812" s="94"/>
      <c r="G2812" s="94"/>
    </row>
    <row r="2813" spans="1:7" x14ac:dyDescent="0.25">
      <c r="A2813" s="89"/>
      <c r="B2813" s="191"/>
      <c r="E2813" s="94"/>
      <c r="F2813" s="94"/>
      <c r="G2813" s="94"/>
    </row>
    <row r="2814" spans="1:7" x14ac:dyDescent="0.25">
      <c r="A2814" s="89"/>
      <c r="B2814" s="191"/>
      <c r="E2814" s="94"/>
      <c r="F2814" s="94"/>
      <c r="G2814" s="94"/>
    </row>
    <row r="2815" spans="1:7" x14ac:dyDescent="0.25">
      <c r="A2815" s="89"/>
      <c r="B2815" s="191"/>
      <c r="E2815" s="94"/>
      <c r="F2815" s="94"/>
      <c r="G2815" s="94"/>
    </row>
    <row r="2816" spans="1:7" x14ac:dyDescent="0.25">
      <c r="A2816" s="89"/>
      <c r="B2816" s="191"/>
      <c r="E2816" s="94"/>
      <c r="F2816" s="94"/>
      <c r="G2816" s="94"/>
    </row>
    <row r="2817" spans="1:7" x14ac:dyDescent="0.25">
      <c r="A2817" s="89"/>
      <c r="B2817" s="191"/>
      <c r="E2817" s="94"/>
      <c r="F2817" s="94"/>
      <c r="G2817" s="94"/>
    </row>
    <row r="2818" spans="1:7" x14ac:dyDescent="0.25">
      <c r="A2818" s="89"/>
      <c r="B2818" s="191"/>
      <c r="E2818" s="94"/>
      <c r="F2818" s="94"/>
      <c r="G2818" s="94"/>
    </row>
    <row r="2819" spans="1:7" x14ac:dyDescent="0.25">
      <c r="A2819" s="89"/>
      <c r="B2819" s="191"/>
      <c r="E2819" s="94"/>
      <c r="F2819" s="94"/>
      <c r="G2819" s="94"/>
    </row>
    <row r="2820" spans="1:7" x14ac:dyDescent="0.25">
      <c r="A2820" s="89"/>
      <c r="B2820" s="191"/>
      <c r="E2820" s="94"/>
      <c r="F2820" s="94"/>
      <c r="G2820" s="94"/>
    </row>
    <row r="2821" spans="1:7" x14ac:dyDescent="0.25">
      <c r="A2821" s="89"/>
      <c r="B2821" s="191"/>
      <c r="E2821" s="94"/>
      <c r="F2821" s="94"/>
      <c r="G2821" s="94"/>
    </row>
    <row r="2822" spans="1:7" x14ac:dyDescent="0.25">
      <c r="A2822" s="89"/>
      <c r="B2822" s="191"/>
      <c r="E2822" s="94"/>
      <c r="F2822" s="94"/>
      <c r="G2822" s="94"/>
    </row>
    <row r="2823" spans="1:7" x14ac:dyDescent="0.25">
      <c r="A2823" s="89"/>
      <c r="B2823" s="191"/>
      <c r="E2823" s="94"/>
      <c r="F2823" s="94"/>
      <c r="G2823" s="94"/>
    </row>
    <row r="2824" spans="1:7" x14ac:dyDescent="0.25">
      <c r="A2824" s="89"/>
      <c r="B2824" s="191"/>
      <c r="E2824" s="94"/>
      <c r="F2824" s="94"/>
      <c r="G2824" s="94"/>
    </row>
    <row r="2825" spans="1:7" x14ac:dyDescent="0.25">
      <c r="A2825" s="89"/>
      <c r="B2825" s="191"/>
      <c r="E2825" s="94"/>
      <c r="F2825" s="94"/>
      <c r="G2825" s="94"/>
    </row>
    <row r="2826" spans="1:7" x14ac:dyDescent="0.25">
      <c r="A2826" s="89"/>
      <c r="B2826" s="191"/>
      <c r="E2826" s="94"/>
      <c r="F2826" s="94"/>
      <c r="G2826" s="94"/>
    </row>
    <row r="2827" spans="1:7" x14ac:dyDescent="0.25">
      <c r="A2827" s="89"/>
      <c r="B2827" s="191"/>
      <c r="E2827" s="94"/>
      <c r="F2827" s="94"/>
      <c r="G2827" s="94"/>
    </row>
    <row r="2828" spans="1:7" x14ac:dyDescent="0.25">
      <c r="A2828" s="89"/>
      <c r="B2828" s="191"/>
      <c r="E2828" s="94"/>
      <c r="F2828" s="94"/>
      <c r="G2828" s="94"/>
    </row>
    <row r="2829" spans="1:7" x14ac:dyDescent="0.25">
      <c r="A2829" s="89"/>
      <c r="B2829" s="191"/>
      <c r="E2829" s="94"/>
      <c r="F2829" s="94"/>
      <c r="G2829" s="94"/>
    </row>
    <row r="2830" spans="1:7" x14ac:dyDescent="0.25">
      <c r="A2830" s="89"/>
      <c r="B2830" s="191"/>
      <c r="E2830" s="94"/>
      <c r="F2830" s="94"/>
      <c r="G2830" s="94"/>
    </row>
    <row r="2831" spans="1:7" x14ac:dyDescent="0.25">
      <c r="A2831" s="89"/>
      <c r="B2831" s="191"/>
      <c r="E2831" s="94"/>
      <c r="F2831" s="94"/>
      <c r="G2831" s="94"/>
    </row>
    <row r="2832" spans="1:7" x14ac:dyDescent="0.25">
      <c r="A2832" s="89"/>
      <c r="B2832" s="191"/>
      <c r="E2832" s="94"/>
      <c r="F2832" s="94"/>
      <c r="G2832" s="94"/>
    </row>
    <row r="2833" spans="1:7" x14ac:dyDescent="0.25">
      <c r="A2833" s="89"/>
      <c r="B2833" s="191"/>
      <c r="E2833" s="94"/>
      <c r="F2833" s="94"/>
      <c r="G2833" s="94"/>
    </row>
    <row r="2834" spans="1:7" x14ac:dyDescent="0.25">
      <c r="A2834" s="89"/>
      <c r="B2834" s="191"/>
      <c r="E2834" s="94"/>
      <c r="F2834" s="94"/>
      <c r="G2834" s="94"/>
    </row>
    <row r="2835" spans="1:7" x14ac:dyDescent="0.25">
      <c r="A2835" s="89"/>
      <c r="B2835" s="191"/>
      <c r="E2835" s="94"/>
      <c r="F2835" s="94"/>
      <c r="G2835" s="94"/>
    </row>
    <row r="2836" spans="1:7" x14ac:dyDescent="0.25">
      <c r="A2836" s="89"/>
      <c r="B2836" s="191"/>
      <c r="E2836" s="94"/>
      <c r="F2836" s="94"/>
      <c r="G2836" s="94"/>
    </row>
    <row r="2837" spans="1:7" x14ac:dyDescent="0.25">
      <c r="A2837" s="89"/>
      <c r="B2837" s="191"/>
      <c r="E2837" s="94"/>
      <c r="F2837" s="94"/>
      <c r="G2837" s="94"/>
    </row>
    <row r="2838" spans="1:7" x14ac:dyDescent="0.25">
      <c r="A2838" s="89"/>
      <c r="B2838" s="191"/>
      <c r="E2838" s="94"/>
      <c r="F2838" s="94"/>
      <c r="G2838" s="94"/>
    </row>
    <row r="2839" spans="1:7" x14ac:dyDescent="0.25">
      <c r="A2839" s="89"/>
      <c r="B2839" s="191"/>
      <c r="E2839" s="94"/>
      <c r="F2839" s="94"/>
      <c r="G2839" s="94"/>
    </row>
    <row r="2840" spans="1:7" x14ac:dyDescent="0.25">
      <c r="A2840" s="89"/>
      <c r="B2840" s="191"/>
      <c r="E2840" s="94"/>
      <c r="F2840" s="94"/>
      <c r="G2840" s="94"/>
    </row>
    <row r="2841" spans="1:7" x14ac:dyDescent="0.25">
      <c r="A2841" s="89"/>
      <c r="B2841" s="191"/>
      <c r="E2841" s="94"/>
      <c r="F2841" s="94"/>
      <c r="G2841" s="94"/>
    </row>
    <row r="2842" spans="1:7" x14ac:dyDescent="0.25">
      <c r="A2842" s="89"/>
      <c r="B2842" s="191"/>
      <c r="E2842" s="94"/>
      <c r="F2842" s="94"/>
      <c r="G2842" s="94"/>
    </row>
    <row r="2843" spans="1:7" x14ac:dyDescent="0.25">
      <c r="A2843" s="89"/>
      <c r="B2843" s="191"/>
      <c r="E2843" s="94"/>
      <c r="F2843" s="94"/>
      <c r="G2843" s="94"/>
    </row>
    <row r="2844" spans="1:7" x14ac:dyDescent="0.25">
      <c r="A2844" s="89"/>
      <c r="B2844" s="191"/>
      <c r="E2844" s="94"/>
      <c r="F2844" s="94"/>
      <c r="G2844" s="94"/>
    </row>
    <row r="2845" spans="1:7" x14ac:dyDescent="0.25">
      <c r="A2845" s="89"/>
      <c r="B2845" s="191"/>
      <c r="E2845" s="94"/>
      <c r="F2845" s="94"/>
      <c r="G2845" s="94"/>
    </row>
    <row r="2846" spans="1:7" x14ac:dyDescent="0.25">
      <c r="A2846" s="89"/>
      <c r="B2846" s="191"/>
      <c r="E2846" s="94"/>
      <c r="F2846" s="94"/>
      <c r="G2846" s="94"/>
    </row>
    <row r="2847" spans="1:7" x14ac:dyDescent="0.25">
      <c r="A2847" s="89"/>
      <c r="B2847" s="191"/>
      <c r="E2847" s="94"/>
      <c r="F2847" s="94"/>
      <c r="G2847" s="94"/>
    </row>
    <row r="2848" spans="1:7" x14ac:dyDescent="0.25">
      <c r="A2848" s="89"/>
      <c r="B2848" s="191"/>
      <c r="E2848" s="94"/>
      <c r="F2848" s="94"/>
      <c r="G2848" s="94"/>
    </row>
    <row r="2849" spans="1:7" x14ac:dyDescent="0.25">
      <c r="A2849" s="89"/>
      <c r="B2849" s="191"/>
      <c r="E2849" s="94"/>
      <c r="F2849" s="94"/>
      <c r="G2849" s="94"/>
    </row>
    <row r="2850" spans="1:7" x14ac:dyDescent="0.25">
      <c r="A2850" s="89"/>
      <c r="B2850" s="191"/>
      <c r="E2850" s="94"/>
      <c r="F2850" s="94"/>
      <c r="G2850" s="94"/>
    </row>
    <row r="2851" spans="1:7" x14ac:dyDescent="0.25">
      <c r="A2851" s="89"/>
      <c r="B2851" s="191"/>
      <c r="E2851" s="94"/>
      <c r="F2851" s="94"/>
      <c r="G2851" s="94"/>
    </row>
    <row r="2852" spans="1:7" x14ac:dyDescent="0.25">
      <c r="A2852" s="89"/>
      <c r="B2852" s="191"/>
      <c r="E2852" s="94"/>
      <c r="F2852" s="94"/>
      <c r="G2852" s="94"/>
    </row>
    <row r="2853" spans="1:7" x14ac:dyDescent="0.25">
      <c r="A2853" s="89"/>
      <c r="B2853" s="191"/>
      <c r="E2853" s="94"/>
      <c r="F2853" s="94"/>
      <c r="G2853" s="94"/>
    </row>
    <row r="2854" spans="1:7" x14ac:dyDescent="0.25">
      <c r="A2854" s="89"/>
      <c r="B2854" s="191"/>
      <c r="E2854" s="94"/>
      <c r="F2854" s="94"/>
      <c r="G2854" s="94"/>
    </row>
    <row r="2855" spans="1:7" x14ac:dyDescent="0.25">
      <c r="A2855" s="89"/>
      <c r="B2855" s="191"/>
      <c r="E2855" s="94"/>
      <c r="F2855" s="94"/>
      <c r="G2855" s="94"/>
    </row>
    <row r="2856" spans="1:7" x14ac:dyDescent="0.25">
      <c r="A2856" s="89"/>
      <c r="B2856" s="191"/>
      <c r="E2856" s="94"/>
      <c r="F2856" s="94"/>
      <c r="G2856" s="94"/>
    </row>
    <row r="2857" spans="1:7" x14ac:dyDescent="0.25">
      <c r="A2857" s="89"/>
      <c r="B2857" s="191"/>
      <c r="E2857" s="94"/>
      <c r="F2857" s="94"/>
      <c r="G2857" s="94"/>
    </row>
    <row r="2858" spans="1:7" x14ac:dyDescent="0.25">
      <c r="A2858" s="89"/>
      <c r="B2858" s="191"/>
      <c r="E2858" s="94"/>
      <c r="F2858" s="94"/>
      <c r="G2858" s="94"/>
    </row>
    <row r="2859" spans="1:7" x14ac:dyDescent="0.25">
      <c r="A2859" s="89"/>
      <c r="B2859" s="191"/>
      <c r="E2859" s="94"/>
      <c r="F2859" s="94"/>
      <c r="G2859" s="94"/>
    </row>
    <row r="2860" spans="1:7" x14ac:dyDescent="0.25">
      <c r="A2860" s="89"/>
      <c r="B2860" s="191"/>
      <c r="E2860" s="94"/>
      <c r="F2860" s="94"/>
      <c r="G2860" s="94"/>
    </row>
    <row r="2861" spans="1:7" x14ac:dyDescent="0.25">
      <c r="A2861" s="89"/>
      <c r="B2861" s="191"/>
      <c r="E2861" s="94"/>
      <c r="F2861" s="94"/>
      <c r="G2861" s="94"/>
    </row>
    <row r="2862" spans="1:7" x14ac:dyDescent="0.25">
      <c r="A2862" s="89"/>
      <c r="B2862" s="191"/>
      <c r="E2862" s="94"/>
      <c r="F2862" s="94"/>
      <c r="G2862" s="94"/>
    </row>
    <row r="2863" spans="1:7" x14ac:dyDescent="0.25">
      <c r="A2863" s="89"/>
      <c r="B2863" s="191"/>
      <c r="E2863" s="94"/>
      <c r="F2863" s="94"/>
      <c r="G2863" s="94"/>
    </row>
    <row r="2864" spans="1:7" x14ac:dyDescent="0.25">
      <c r="A2864" s="89"/>
      <c r="B2864" s="191"/>
      <c r="E2864" s="94"/>
      <c r="F2864" s="94"/>
      <c r="G2864" s="94"/>
    </row>
    <row r="2865" spans="1:7" x14ac:dyDescent="0.25">
      <c r="A2865" s="89"/>
      <c r="B2865" s="191"/>
      <c r="E2865" s="94"/>
      <c r="F2865" s="94"/>
      <c r="G2865" s="94"/>
    </row>
    <row r="2866" spans="1:7" x14ac:dyDescent="0.25">
      <c r="A2866" s="89"/>
      <c r="B2866" s="191"/>
      <c r="E2866" s="94"/>
      <c r="F2866" s="94"/>
      <c r="G2866" s="94"/>
    </row>
    <row r="2867" spans="1:7" x14ac:dyDescent="0.25">
      <c r="A2867" s="89"/>
      <c r="B2867" s="191"/>
      <c r="E2867" s="94"/>
      <c r="F2867" s="94"/>
      <c r="G2867" s="94"/>
    </row>
    <row r="2868" spans="1:7" x14ac:dyDescent="0.25">
      <c r="A2868" s="89"/>
      <c r="B2868" s="191"/>
      <c r="E2868" s="94"/>
      <c r="F2868" s="94"/>
      <c r="G2868" s="94"/>
    </row>
    <row r="2869" spans="1:7" x14ac:dyDescent="0.25">
      <c r="A2869" s="89"/>
      <c r="B2869" s="191"/>
      <c r="E2869" s="94"/>
      <c r="F2869" s="94"/>
      <c r="G2869" s="94"/>
    </row>
    <row r="2870" spans="1:7" x14ac:dyDescent="0.25">
      <c r="A2870" s="89"/>
      <c r="B2870" s="191"/>
      <c r="E2870" s="94"/>
      <c r="F2870" s="94"/>
      <c r="G2870" s="94"/>
    </row>
    <row r="2871" spans="1:7" x14ac:dyDescent="0.25">
      <c r="A2871" s="89"/>
      <c r="B2871" s="191"/>
      <c r="E2871" s="94"/>
      <c r="F2871" s="94"/>
      <c r="G2871" s="94"/>
    </row>
    <row r="2872" spans="1:7" x14ac:dyDescent="0.25">
      <c r="A2872" s="89"/>
      <c r="B2872" s="191"/>
      <c r="E2872" s="94"/>
      <c r="F2872" s="94"/>
      <c r="G2872" s="94"/>
    </row>
    <row r="2873" spans="1:7" x14ac:dyDescent="0.25">
      <c r="A2873" s="89"/>
      <c r="B2873" s="191"/>
      <c r="E2873" s="94"/>
      <c r="F2873" s="94"/>
      <c r="G2873" s="94"/>
    </row>
    <row r="2874" spans="1:7" x14ac:dyDescent="0.25">
      <c r="A2874" s="89"/>
      <c r="B2874" s="191"/>
      <c r="E2874" s="94"/>
      <c r="F2874" s="94"/>
      <c r="G2874" s="94"/>
    </row>
    <row r="2875" spans="1:7" x14ac:dyDescent="0.25">
      <c r="A2875" s="89"/>
      <c r="B2875" s="191"/>
      <c r="E2875" s="94"/>
      <c r="F2875" s="94"/>
      <c r="G2875" s="94"/>
    </row>
    <row r="2876" spans="1:7" x14ac:dyDescent="0.25">
      <c r="A2876" s="89"/>
      <c r="B2876" s="191"/>
      <c r="E2876" s="94"/>
      <c r="F2876" s="94"/>
      <c r="G2876" s="94"/>
    </row>
    <row r="2877" spans="1:7" x14ac:dyDescent="0.25">
      <c r="A2877" s="89"/>
      <c r="B2877" s="191"/>
      <c r="E2877" s="94"/>
      <c r="F2877" s="94"/>
      <c r="G2877" s="94"/>
    </row>
    <row r="2878" spans="1:7" x14ac:dyDescent="0.25">
      <c r="A2878" s="89"/>
      <c r="B2878" s="191"/>
      <c r="E2878" s="94"/>
      <c r="F2878" s="94"/>
      <c r="G2878" s="94"/>
    </row>
    <row r="2879" spans="1:7" x14ac:dyDescent="0.25">
      <c r="A2879" s="89"/>
      <c r="B2879" s="191"/>
      <c r="E2879" s="94"/>
      <c r="F2879" s="94"/>
      <c r="G2879" s="94"/>
    </row>
    <row r="2880" spans="1:7" x14ac:dyDescent="0.25">
      <c r="A2880" s="89"/>
      <c r="B2880" s="191"/>
      <c r="E2880" s="94"/>
      <c r="F2880" s="94"/>
      <c r="G2880" s="94"/>
    </row>
    <row r="2881" spans="1:7" x14ac:dyDescent="0.25">
      <c r="A2881" s="89"/>
      <c r="B2881" s="191"/>
      <c r="E2881" s="94"/>
      <c r="F2881" s="94"/>
      <c r="G2881" s="94"/>
    </row>
    <row r="2882" spans="1:7" x14ac:dyDescent="0.25">
      <c r="A2882" s="89"/>
      <c r="B2882" s="191"/>
      <c r="E2882" s="94"/>
      <c r="F2882" s="94"/>
      <c r="G2882" s="94"/>
    </row>
    <row r="2883" spans="1:7" x14ac:dyDescent="0.25">
      <c r="A2883" s="89"/>
      <c r="B2883" s="191"/>
      <c r="E2883" s="94"/>
      <c r="F2883" s="94"/>
      <c r="G2883" s="94"/>
    </row>
    <row r="2884" spans="1:7" x14ac:dyDescent="0.25">
      <c r="A2884" s="89"/>
      <c r="B2884" s="191"/>
      <c r="E2884" s="94"/>
      <c r="F2884" s="94"/>
      <c r="G2884" s="94"/>
    </row>
    <row r="2885" spans="1:7" x14ac:dyDescent="0.25">
      <c r="A2885" s="89"/>
      <c r="B2885" s="191"/>
      <c r="E2885" s="94"/>
      <c r="F2885" s="94"/>
      <c r="G2885" s="94"/>
    </row>
    <row r="2886" spans="1:7" x14ac:dyDescent="0.25">
      <c r="A2886" s="89"/>
      <c r="B2886" s="191"/>
      <c r="E2886" s="94"/>
      <c r="F2886" s="94"/>
      <c r="G2886" s="94"/>
    </row>
    <row r="2887" spans="1:7" x14ac:dyDescent="0.25">
      <c r="A2887" s="89"/>
      <c r="B2887" s="191"/>
      <c r="E2887" s="94"/>
      <c r="F2887" s="94"/>
      <c r="G2887" s="94"/>
    </row>
    <row r="2888" spans="1:7" x14ac:dyDescent="0.25">
      <c r="A2888" s="89"/>
      <c r="B2888" s="191"/>
      <c r="E2888" s="94"/>
      <c r="F2888" s="94"/>
      <c r="G2888" s="94"/>
    </row>
    <row r="2889" spans="1:7" x14ac:dyDescent="0.25">
      <c r="A2889" s="89"/>
      <c r="B2889" s="191"/>
      <c r="E2889" s="94"/>
      <c r="F2889" s="94"/>
      <c r="G2889" s="94"/>
    </row>
    <row r="2890" spans="1:7" x14ac:dyDescent="0.25">
      <c r="A2890" s="89"/>
      <c r="B2890" s="191"/>
      <c r="E2890" s="94"/>
      <c r="F2890" s="94"/>
      <c r="G2890" s="94"/>
    </row>
    <row r="2891" spans="1:7" x14ac:dyDescent="0.25">
      <c r="A2891" s="89"/>
      <c r="B2891" s="191"/>
      <c r="E2891" s="94"/>
      <c r="F2891" s="94"/>
      <c r="G2891" s="94"/>
    </row>
    <row r="2892" spans="1:7" x14ac:dyDescent="0.25">
      <c r="A2892" s="89"/>
      <c r="B2892" s="191"/>
      <c r="E2892" s="94"/>
      <c r="F2892" s="94"/>
      <c r="G2892" s="94"/>
    </row>
    <row r="2893" spans="1:7" x14ac:dyDescent="0.25">
      <c r="A2893" s="89"/>
      <c r="B2893" s="191"/>
      <c r="E2893" s="94"/>
      <c r="F2893" s="94"/>
      <c r="G2893" s="94"/>
    </row>
    <row r="2894" spans="1:7" x14ac:dyDescent="0.25">
      <c r="A2894" s="89"/>
      <c r="B2894" s="191"/>
      <c r="E2894" s="94"/>
      <c r="F2894" s="94"/>
      <c r="G2894" s="94"/>
    </row>
    <row r="2895" spans="1:7" x14ac:dyDescent="0.25">
      <c r="A2895" s="89"/>
      <c r="B2895" s="191"/>
      <c r="E2895" s="94"/>
      <c r="F2895" s="94"/>
      <c r="G2895" s="94"/>
    </row>
    <row r="2896" spans="1:7" x14ac:dyDescent="0.25">
      <c r="A2896" s="89"/>
      <c r="B2896" s="191"/>
      <c r="E2896" s="94"/>
      <c r="F2896" s="94"/>
      <c r="G2896" s="94"/>
    </row>
    <row r="2897" spans="1:7" x14ac:dyDescent="0.25">
      <c r="A2897" s="89"/>
      <c r="B2897" s="191"/>
      <c r="E2897" s="94"/>
      <c r="F2897" s="94"/>
      <c r="G2897" s="94"/>
    </row>
    <row r="2898" spans="1:7" x14ac:dyDescent="0.25">
      <c r="A2898" s="89"/>
      <c r="B2898" s="191"/>
      <c r="E2898" s="94"/>
      <c r="F2898" s="94"/>
      <c r="G2898" s="94"/>
    </row>
    <row r="2899" spans="1:7" x14ac:dyDescent="0.25">
      <c r="A2899" s="89"/>
      <c r="B2899" s="191"/>
      <c r="E2899" s="94"/>
      <c r="F2899" s="94"/>
      <c r="G2899" s="94"/>
    </row>
    <row r="2900" spans="1:7" x14ac:dyDescent="0.25">
      <c r="A2900" s="89"/>
      <c r="B2900" s="191"/>
      <c r="E2900" s="94"/>
      <c r="F2900" s="94"/>
      <c r="G2900" s="94"/>
    </row>
    <row r="2901" spans="1:7" x14ac:dyDescent="0.25">
      <c r="A2901" s="89"/>
      <c r="B2901" s="191"/>
      <c r="E2901" s="94"/>
      <c r="F2901" s="94"/>
      <c r="G2901" s="94"/>
    </row>
    <row r="2902" spans="1:7" x14ac:dyDescent="0.25">
      <c r="A2902" s="89"/>
      <c r="B2902" s="191"/>
      <c r="E2902" s="94"/>
      <c r="F2902" s="94"/>
      <c r="G2902" s="94"/>
    </row>
    <row r="2903" spans="1:7" x14ac:dyDescent="0.25">
      <c r="A2903" s="89"/>
      <c r="B2903" s="191"/>
      <c r="E2903" s="94"/>
      <c r="F2903" s="94"/>
      <c r="G2903" s="94"/>
    </row>
    <row r="2904" spans="1:7" x14ac:dyDescent="0.25">
      <c r="A2904" s="89"/>
      <c r="B2904" s="191"/>
      <c r="E2904" s="94"/>
      <c r="F2904" s="94"/>
      <c r="G2904" s="94"/>
    </row>
    <row r="2905" spans="1:7" x14ac:dyDescent="0.25">
      <c r="A2905" s="89"/>
      <c r="B2905" s="191"/>
      <c r="E2905" s="94"/>
      <c r="F2905" s="94"/>
      <c r="G2905" s="94"/>
    </row>
    <row r="2906" spans="1:7" x14ac:dyDescent="0.25">
      <c r="A2906" s="89"/>
      <c r="B2906" s="191"/>
      <c r="E2906" s="94"/>
      <c r="F2906" s="94"/>
      <c r="G2906" s="94"/>
    </row>
    <row r="2907" spans="1:7" x14ac:dyDescent="0.25">
      <c r="A2907" s="89"/>
      <c r="B2907" s="191"/>
      <c r="E2907" s="94"/>
      <c r="F2907" s="94"/>
      <c r="G2907" s="94"/>
    </row>
    <row r="2908" spans="1:7" x14ac:dyDescent="0.25">
      <c r="A2908" s="89"/>
      <c r="B2908" s="191"/>
      <c r="E2908" s="94"/>
      <c r="F2908" s="94"/>
      <c r="G2908" s="94"/>
    </row>
    <row r="2909" spans="1:7" x14ac:dyDescent="0.25">
      <c r="A2909" s="89"/>
      <c r="B2909" s="191"/>
      <c r="E2909" s="94"/>
      <c r="F2909" s="94"/>
      <c r="G2909" s="94"/>
    </row>
    <row r="2910" spans="1:7" x14ac:dyDescent="0.25">
      <c r="A2910" s="89"/>
      <c r="B2910" s="191"/>
      <c r="E2910" s="94"/>
      <c r="F2910" s="94"/>
      <c r="G2910" s="94"/>
    </row>
    <row r="2911" spans="1:7" x14ac:dyDescent="0.25">
      <c r="A2911" s="89"/>
      <c r="B2911" s="191"/>
      <c r="E2911" s="94"/>
      <c r="F2911" s="94"/>
      <c r="G2911" s="94"/>
    </row>
    <row r="2912" spans="1:7" x14ac:dyDescent="0.25">
      <c r="A2912" s="89"/>
      <c r="B2912" s="191"/>
      <c r="E2912" s="94"/>
      <c r="F2912" s="94"/>
      <c r="G2912" s="94"/>
    </row>
    <row r="2913" spans="1:7" x14ac:dyDescent="0.25">
      <c r="A2913" s="89"/>
      <c r="B2913" s="191"/>
      <c r="E2913" s="94"/>
      <c r="F2913" s="94"/>
      <c r="G2913" s="94"/>
    </row>
    <row r="2914" spans="1:7" x14ac:dyDescent="0.25">
      <c r="A2914" s="89"/>
      <c r="B2914" s="191"/>
      <c r="E2914" s="94"/>
      <c r="F2914" s="94"/>
      <c r="G2914" s="94"/>
    </row>
    <row r="2915" spans="1:7" x14ac:dyDescent="0.25">
      <c r="A2915" s="89"/>
      <c r="B2915" s="191"/>
      <c r="E2915" s="94"/>
      <c r="F2915" s="94"/>
      <c r="G2915" s="94"/>
    </row>
    <row r="2916" spans="1:7" x14ac:dyDescent="0.25">
      <c r="A2916" s="89"/>
      <c r="B2916" s="191"/>
      <c r="E2916" s="94"/>
      <c r="F2916" s="94"/>
      <c r="G2916" s="94"/>
    </row>
    <row r="2917" spans="1:7" x14ac:dyDescent="0.25">
      <c r="A2917" s="89"/>
      <c r="B2917" s="191"/>
      <c r="E2917" s="94"/>
      <c r="F2917" s="94"/>
      <c r="G2917" s="94"/>
    </row>
    <row r="2918" spans="1:7" x14ac:dyDescent="0.25">
      <c r="A2918" s="89"/>
      <c r="B2918" s="191"/>
      <c r="E2918" s="94"/>
      <c r="F2918" s="94"/>
      <c r="G2918" s="94"/>
    </row>
    <row r="2919" spans="1:7" x14ac:dyDescent="0.25">
      <c r="A2919" s="89"/>
      <c r="B2919" s="191"/>
      <c r="E2919" s="94"/>
      <c r="F2919" s="94"/>
      <c r="G2919" s="94"/>
    </row>
    <row r="2920" spans="1:7" x14ac:dyDescent="0.25">
      <c r="A2920" s="89"/>
      <c r="B2920" s="191"/>
      <c r="E2920" s="94"/>
      <c r="F2920" s="94"/>
      <c r="G2920" s="94"/>
    </row>
    <row r="2921" spans="1:7" x14ac:dyDescent="0.25">
      <c r="A2921" s="89"/>
      <c r="B2921" s="191"/>
      <c r="E2921" s="94"/>
      <c r="F2921" s="94"/>
      <c r="G2921" s="94"/>
    </row>
    <row r="2922" spans="1:7" x14ac:dyDescent="0.25">
      <c r="A2922" s="89"/>
      <c r="B2922" s="191"/>
      <c r="E2922" s="94"/>
      <c r="F2922" s="94"/>
      <c r="G2922" s="94"/>
    </row>
    <row r="2923" spans="1:7" x14ac:dyDescent="0.25">
      <c r="A2923" s="89"/>
      <c r="B2923" s="191"/>
      <c r="E2923" s="94"/>
      <c r="F2923" s="94"/>
      <c r="G2923" s="94"/>
    </row>
    <row r="2924" spans="1:7" x14ac:dyDescent="0.25">
      <c r="A2924" s="89"/>
      <c r="B2924" s="191"/>
      <c r="E2924" s="94"/>
      <c r="F2924" s="94"/>
      <c r="G2924" s="94"/>
    </row>
    <row r="2925" spans="1:7" x14ac:dyDescent="0.25">
      <c r="A2925" s="89"/>
      <c r="B2925" s="191"/>
      <c r="E2925" s="94"/>
      <c r="F2925" s="94"/>
      <c r="G2925" s="94"/>
    </row>
    <row r="2926" spans="1:7" x14ac:dyDescent="0.25">
      <c r="A2926" s="89"/>
      <c r="B2926" s="191"/>
      <c r="E2926" s="94"/>
      <c r="F2926" s="94"/>
      <c r="G2926" s="94"/>
    </row>
    <row r="2927" spans="1:7" x14ac:dyDescent="0.25">
      <c r="A2927" s="89"/>
      <c r="B2927" s="191"/>
      <c r="E2927" s="94"/>
      <c r="F2927" s="94"/>
      <c r="G2927" s="94"/>
    </row>
    <row r="2928" spans="1:7" x14ac:dyDescent="0.25">
      <c r="A2928" s="89"/>
      <c r="B2928" s="191"/>
      <c r="E2928" s="94"/>
      <c r="F2928" s="94"/>
      <c r="G2928" s="94"/>
    </row>
    <row r="2929" spans="1:7" x14ac:dyDescent="0.25">
      <c r="A2929" s="89"/>
      <c r="B2929" s="191"/>
      <c r="E2929" s="94"/>
      <c r="F2929" s="94"/>
      <c r="G2929" s="94"/>
    </row>
    <row r="2930" spans="1:7" x14ac:dyDescent="0.25">
      <c r="A2930" s="89"/>
      <c r="B2930" s="191"/>
      <c r="E2930" s="94"/>
      <c r="F2930" s="94"/>
      <c r="G2930" s="94"/>
    </row>
    <row r="2931" spans="1:7" x14ac:dyDescent="0.25">
      <c r="A2931" s="89"/>
      <c r="B2931" s="191"/>
      <c r="E2931" s="94"/>
      <c r="F2931" s="94"/>
      <c r="G2931" s="94"/>
    </row>
    <row r="2932" spans="1:7" x14ac:dyDescent="0.25">
      <c r="A2932" s="89"/>
      <c r="B2932" s="191"/>
      <c r="E2932" s="94"/>
      <c r="F2932" s="94"/>
      <c r="G2932" s="94"/>
    </row>
    <row r="2933" spans="1:7" x14ac:dyDescent="0.25">
      <c r="A2933" s="89"/>
      <c r="B2933" s="191"/>
      <c r="E2933" s="94"/>
      <c r="F2933" s="94"/>
      <c r="G2933" s="94"/>
    </row>
    <row r="2934" spans="1:7" x14ac:dyDescent="0.25">
      <c r="A2934" s="89"/>
      <c r="B2934" s="191"/>
      <c r="E2934" s="94"/>
      <c r="F2934" s="94"/>
      <c r="G2934" s="94"/>
    </row>
    <row r="2935" spans="1:7" x14ac:dyDescent="0.25">
      <c r="A2935" s="89"/>
      <c r="B2935" s="191"/>
      <c r="E2935" s="94"/>
      <c r="F2935" s="94"/>
      <c r="G2935" s="94"/>
    </row>
    <row r="2936" spans="1:7" x14ac:dyDescent="0.25">
      <c r="A2936" s="89"/>
      <c r="B2936" s="191"/>
      <c r="E2936" s="94"/>
      <c r="F2936" s="94"/>
      <c r="G2936" s="94"/>
    </row>
    <row r="2937" spans="1:7" x14ac:dyDescent="0.25">
      <c r="A2937" s="89"/>
      <c r="B2937" s="191"/>
      <c r="E2937" s="94"/>
      <c r="F2937" s="94"/>
      <c r="G2937" s="94"/>
    </row>
    <row r="2938" spans="1:7" x14ac:dyDescent="0.25">
      <c r="A2938" s="89"/>
      <c r="B2938" s="191"/>
      <c r="E2938" s="94"/>
      <c r="F2938" s="94"/>
      <c r="G2938" s="94"/>
    </row>
    <row r="2939" spans="1:7" x14ac:dyDescent="0.25">
      <c r="A2939" s="89"/>
      <c r="B2939" s="191"/>
      <c r="E2939" s="94"/>
      <c r="F2939" s="94"/>
      <c r="G2939" s="94"/>
    </row>
    <row r="2940" spans="1:7" x14ac:dyDescent="0.25">
      <c r="A2940" s="89"/>
      <c r="B2940" s="191"/>
      <c r="E2940" s="94"/>
      <c r="F2940" s="94"/>
      <c r="G2940" s="94"/>
    </row>
    <row r="2941" spans="1:7" x14ac:dyDescent="0.25">
      <c r="A2941" s="89"/>
      <c r="B2941" s="191"/>
      <c r="E2941" s="94"/>
      <c r="F2941" s="94"/>
      <c r="G2941" s="94"/>
    </row>
    <row r="2942" spans="1:7" x14ac:dyDescent="0.25">
      <c r="A2942" s="89"/>
      <c r="B2942" s="191"/>
      <c r="E2942" s="94"/>
      <c r="F2942" s="94"/>
      <c r="G2942" s="94"/>
    </row>
    <row r="2943" spans="1:7" x14ac:dyDescent="0.25">
      <c r="A2943" s="89"/>
      <c r="B2943" s="191"/>
      <c r="E2943" s="94"/>
      <c r="F2943" s="94"/>
      <c r="G2943" s="94"/>
    </row>
    <row r="2944" spans="1:7" x14ac:dyDescent="0.25">
      <c r="A2944" s="89"/>
      <c r="B2944" s="191"/>
      <c r="E2944" s="94"/>
      <c r="F2944" s="94"/>
      <c r="G2944" s="94"/>
    </row>
    <row r="2945" spans="1:7" x14ac:dyDescent="0.25">
      <c r="A2945" s="89"/>
      <c r="B2945" s="191"/>
      <c r="E2945" s="94"/>
      <c r="F2945" s="94"/>
      <c r="G2945" s="94"/>
    </row>
    <row r="2946" spans="1:7" x14ac:dyDescent="0.25">
      <c r="A2946" s="89"/>
      <c r="B2946" s="191"/>
      <c r="E2946" s="94"/>
      <c r="F2946" s="94"/>
      <c r="G2946" s="94"/>
    </row>
    <row r="2947" spans="1:7" x14ac:dyDescent="0.25">
      <c r="A2947" s="89"/>
      <c r="B2947" s="191"/>
      <c r="E2947" s="94"/>
      <c r="F2947" s="94"/>
      <c r="G2947" s="94"/>
    </row>
    <row r="2948" spans="1:7" x14ac:dyDescent="0.25">
      <c r="A2948" s="89"/>
      <c r="B2948" s="191"/>
      <c r="E2948" s="94"/>
      <c r="F2948" s="94"/>
      <c r="G2948" s="94"/>
    </row>
    <row r="2949" spans="1:7" x14ac:dyDescent="0.25">
      <c r="A2949" s="89"/>
      <c r="B2949" s="191"/>
      <c r="E2949" s="94"/>
      <c r="F2949" s="94"/>
      <c r="G2949" s="94"/>
    </row>
    <row r="2950" spans="1:7" x14ac:dyDescent="0.25">
      <c r="A2950" s="89"/>
      <c r="B2950" s="191"/>
      <c r="E2950" s="94"/>
      <c r="F2950" s="94"/>
      <c r="G2950" s="94"/>
    </row>
    <row r="2951" spans="1:7" x14ac:dyDescent="0.25">
      <c r="A2951" s="89"/>
      <c r="B2951" s="191"/>
      <c r="E2951" s="94"/>
      <c r="F2951" s="94"/>
      <c r="G2951" s="94"/>
    </row>
    <row r="2952" spans="1:7" x14ac:dyDescent="0.25">
      <c r="A2952" s="89"/>
      <c r="B2952" s="191"/>
      <c r="E2952" s="94"/>
      <c r="F2952" s="94"/>
      <c r="G2952" s="94"/>
    </row>
    <row r="2953" spans="1:7" x14ac:dyDescent="0.25">
      <c r="A2953" s="89"/>
      <c r="B2953" s="191"/>
      <c r="E2953" s="94"/>
      <c r="F2953" s="94"/>
      <c r="G2953" s="94"/>
    </row>
    <row r="2954" spans="1:7" x14ac:dyDescent="0.25">
      <c r="A2954" s="89"/>
      <c r="B2954" s="191"/>
      <c r="E2954" s="94"/>
      <c r="F2954" s="94"/>
      <c r="G2954" s="94"/>
    </row>
    <row r="2955" spans="1:7" x14ac:dyDescent="0.25">
      <c r="A2955" s="89"/>
      <c r="B2955" s="191"/>
      <c r="E2955" s="94"/>
      <c r="F2955" s="94"/>
      <c r="G2955" s="94"/>
    </row>
    <row r="2956" spans="1:7" x14ac:dyDescent="0.25">
      <c r="A2956" s="89"/>
      <c r="B2956" s="191"/>
      <c r="E2956" s="94"/>
      <c r="F2956" s="94"/>
      <c r="G2956" s="94"/>
    </row>
    <row r="2957" spans="1:7" x14ac:dyDescent="0.25">
      <c r="A2957" s="89"/>
      <c r="B2957" s="191"/>
      <c r="E2957" s="94"/>
      <c r="F2957" s="94"/>
      <c r="G2957" s="94"/>
    </row>
    <row r="2958" spans="1:7" x14ac:dyDescent="0.25">
      <c r="A2958" s="89"/>
      <c r="B2958" s="191"/>
      <c r="E2958" s="94"/>
      <c r="F2958" s="94"/>
      <c r="G2958" s="94"/>
    </row>
    <row r="2959" spans="1:7" x14ac:dyDescent="0.25">
      <c r="A2959" s="89"/>
      <c r="B2959" s="191"/>
      <c r="E2959" s="94"/>
      <c r="F2959" s="94"/>
      <c r="G2959" s="94"/>
    </row>
    <row r="2960" spans="1:7" x14ac:dyDescent="0.25">
      <c r="A2960" s="89"/>
      <c r="B2960" s="191"/>
      <c r="E2960" s="94"/>
      <c r="F2960" s="94"/>
      <c r="G2960" s="94"/>
    </row>
    <row r="2961" spans="1:7" x14ac:dyDescent="0.25">
      <c r="A2961" s="89"/>
      <c r="B2961" s="191"/>
      <c r="E2961" s="94"/>
      <c r="F2961" s="94"/>
      <c r="G2961" s="94"/>
    </row>
    <row r="2962" spans="1:7" x14ac:dyDescent="0.25">
      <c r="A2962" s="89"/>
      <c r="B2962" s="191"/>
      <c r="E2962" s="94"/>
      <c r="F2962" s="94"/>
      <c r="G2962" s="94"/>
    </row>
    <row r="2963" spans="1:7" x14ac:dyDescent="0.25">
      <c r="A2963" s="89"/>
      <c r="B2963" s="191"/>
      <c r="E2963" s="94"/>
      <c r="F2963" s="94"/>
      <c r="G2963" s="94"/>
    </row>
    <row r="2964" spans="1:7" x14ac:dyDescent="0.25">
      <c r="A2964" s="89"/>
      <c r="B2964" s="191"/>
      <c r="E2964" s="94"/>
      <c r="F2964" s="94"/>
      <c r="G2964" s="94"/>
    </row>
    <row r="2965" spans="1:7" x14ac:dyDescent="0.25">
      <c r="A2965" s="89"/>
      <c r="B2965" s="191"/>
      <c r="E2965" s="94"/>
      <c r="F2965" s="94"/>
      <c r="G2965" s="94"/>
    </row>
    <row r="2966" spans="1:7" x14ac:dyDescent="0.25">
      <c r="A2966" s="89"/>
      <c r="B2966" s="191"/>
      <c r="E2966" s="94"/>
      <c r="F2966" s="94"/>
      <c r="G2966" s="94"/>
    </row>
    <row r="2967" spans="1:7" x14ac:dyDescent="0.25">
      <c r="A2967" s="89"/>
      <c r="B2967" s="191"/>
      <c r="E2967" s="94"/>
      <c r="F2967" s="94"/>
      <c r="G2967" s="94"/>
    </row>
    <row r="2968" spans="1:7" x14ac:dyDescent="0.25">
      <c r="A2968" s="89"/>
      <c r="B2968" s="191"/>
      <c r="E2968" s="94"/>
      <c r="F2968" s="94"/>
      <c r="G2968" s="94"/>
    </row>
    <row r="2969" spans="1:7" x14ac:dyDescent="0.25">
      <c r="A2969" s="89"/>
      <c r="B2969" s="191"/>
      <c r="E2969" s="94"/>
      <c r="F2969" s="94"/>
      <c r="G2969" s="94"/>
    </row>
    <row r="2970" spans="1:7" x14ac:dyDescent="0.25">
      <c r="A2970" s="89"/>
      <c r="B2970" s="191"/>
      <c r="E2970" s="94"/>
      <c r="F2970" s="94"/>
      <c r="G2970" s="94"/>
    </row>
    <row r="2971" spans="1:7" x14ac:dyDescent="0.25">
      <c r="A2971" s="89"/>
      <c r="B2971" s="191"/>
      <c r="E2971" s="94"/>
      <c r="F2971" s="94"/>
      <c r="G2971" s="94"/>
    </row>
    <row r="2972" spans="1:7" x14ac:dyDescent="0.25">
      <c r="A2972" s="89"/>
      <c r="B2972" s="191"/>
      <c r="E2972" s="94"/>
      <c r="F2972" s="94"/>
      <c r="G2972" s="94"/>
    </row>
    <row r="2973" spans="1:7" x14ac:dyDescent="0.25">
      <c r="A2973" s="89"/>
      <c r="B2973" s="191"/>
      <c r="E2973" s="94"/>
      <c r="F2973" s="94"/>
      <c r="G2973" s="94"/>
    </row>
    <row r="2974" spans="1:7" x14ac:dyDescent="0.25">
      <c r="A2974" s="89"/>
      <c r="B2974" s="191"/>
      <c r="E2974" s="94"/>
      <c r="F2974" s="94"/>
      <c r="G2974" s="94"/>
    </row>
    <row r="2975" spans="1:7" x14ac:dyDescent="0.25">
      <c r="A2975" s="89"/>
      <c r="B2975" s="191"/>
      <c r="E2975" s="94"/>
      <c r="F2975" s="94"/>
      <c r="G2975" s="94"/>
    </row>
    <row r="2976" spans="1:7" x14ac:dyDescent="0.25">
      <c r="A2976" s="89"/>
      <c r="B2976" s="191"/>
      <c r="E2976" s="94"/>
      <c r="F2976" s="94"/>
      <c r="G2976" s="94"/>
    </row>
    <row r="2977" spans="1:7" x14ac:dyDescent="0.25">
      <c r="A2977" s="89"/>
      <c r="B2977" s="191"/>
      <c r="E2977" s="94"/>
      <c r="F2977" s="94"/>
      <c r="G2977" s="94"/>
    </row>
    <row r="2978" spans="1:7" x14ac:dyDescent="0.25">
      <c r="A2978" s="89"/>
      <c r="B2978" s="191"/>
      <c r="E2978" s="94"/>
      <c r="F2978" s="94"/>
      <c r="G2978" s="94"/>
    </row>
    <row r="2979" spans="1:7" x14ac:dyDescent="0.25">
      <c r="A2979" s="89"/>
      <c r="B2979" s="191"/>
      <c r="E2979" s="94"/>
      <c r="F2979" s="94"/>
      <c r="G2979" s="94"/>
    </row>
    <row r="2980" spans="1:7" x14ac:dyDescent="0.25">
      <c r="A2980" s="89"/>
      <c r="B2980" s="191"/>
      <c r="E2980" s="94"/>
      <c r="F2980" s="94"/>
      <c r="G2980" s="94"/>
    </row>
    <row r="2981" spans="1:7" x14ac:dyDescent="0.25">
      <c r="A2981" s="89"/>
      <c r="B2981" s="191"/>
      <c r="E2981" s="94"/>
      <c r="F2981" s="94"/>
      <c r="G2981" s="94"/>
    </row>
    <row r="2982" spans="1:7" x14ac:dyDescent="0.25">
      <c r="A2982" s="89"/>
      <c r="B2982" s="191"/>
      <c r="E2982" s="94"/>
      <c r="F2982" s="94"/>
      <c r="G2982" s="94"/>
    </row>
    <row r="2983" spans="1:7" x14ac:dyDescent="0.25">
      <c r="A2983" s="89"/>
      <c r="B2983" s="191"/>
      <c r="E2983" s="94"/>
      <c r="F2983" s="94"/>
      <c r="G2983" s="94"/>
    </row>
    <row r="2984" spans="1:7" x14ac:dyDescent="0.25">
      <c r="A2984" s="89"/>
      <c r="B2984" s="191"/>
      <c r="E2984" s="94"/>
      <c r="F2984" s="94"/>
      <c r="G2984" s="94"/>
    </row>
    <row r="2985" spans="1:7" x14ac:dyDescent="0.25">
      <c r="A2985" s="89"/>
      <c r="B2985" s="191"/>
      <c r="E2985" s="94"/>
      <c r="F2985" s="94"/>
      <c r="G2985" s="94"/>
    </row>
    <row r="2986" spans="1:7" x14ac:dyDescent="0.25">
      <c r="A2986" s="89"/>
      <c r="B2986" s="191"/>
      <c r="E2986" s="94"/>
      <c r="F2986" s="94"/>
      <c r="G2986" s="94"/>
    </row>
    <row r="2987" spans="1:7" x14ac:dyDescent="0.25">
      <c r="A2987" s="89"/>
      <c r="B2987" s="191"/>
      <c r="E2987" s="94"/>
      <c r="F2987" s="94"/>
      <c r="G2987" s="94"/>
    </row>
    <row r="2988" spans="1:7" x14ac:dyDescent="0.25">
      <c r="A2988" s="89"/>
      <c r="B2988" s="191"/>
      <c r="E2988" s="94"/>
      <c r="F2988" s="94"/>
      <c r="G2988" s="94"/>
    </row>
    <row r="2989" spans="1:7" x14ac:dyDescent="0.25">
      <c r="A2989" s="89"/>
      <c r="B2989" s="191"/>
      <c r="E2989" s="94"/>
      <c r="F2989" s="94"/>
      <c r="G2989" s="94"/>
    </row>
    <row r="2990" spans="1:7" x14ac:dyDescent="0.25">
      <c r="A2990" s="89"/>
      <c r="B2990" s="191"/>
      <c r="E2990" s="94"/>
      <c r="F2990" s="94"/>
      <c r="G2990" s="94"/>
    </row>
    <row r="2991" spans="1:7" x14ac:dyDescent="0.25">
      <c r="A2991" s="89"/>
      <c r="B2991" s="191"/>
      <c r="E2991" s="94"/>
      <c r="F2991" s="94"/>
      <c r="G2991" s="94"/>
    </row>
    <row r="2992" spans="1:7" x14ac:dyDescent="0.25">
      <c r="A2992" s="89"/>
      <c r="B2992" s="191"/>
      <c r="E2992" s="94"/>
      <c r="F2992" s="94"/>
      <c r="G2992" s="94"/>
    </row>
    <row r="2993" spans="1:8" x14ac:dyDescent="0.25">
      <c r="A2993" s="89"/>
      <c r="B2993" s="191"/>
      <c r="E2993" s="94"/>
      <c r="F2993" s="94"/>
      <c r="G2993" s="94"/>
    </row>
    <row r="2994" spans="1:8" x14ac:dyDescent="0.25">
      <c r="A2994" s="89"/>
      <c r="B2994" s="191"/>
      <c r="E2994" s="94"/>
      <c r="F2994" s="94"/>
      <c r="G2994" s="94"/>
    </row>
    <row r="2995" spans="1:8" x14ac:dyDescent="0.25">
      <c r="A2995" s="89"/>
      <c r="B2995" s="191"/>
      <c r="E2995" s="94"/>
      <c r="F2995" s="94"/>
      <c r="G2995" s="94"/>
    </row>
    <row r="2996" spans="1:8" x14ac:dyDescent="0.25">
      <c r="A2996" s="89"/>
      <c r="B2996" s="191"/>
      <c r="E2996" s="94"/>
      <c r="F2996" s="94"/>
      <c r="G2996" s="94"/>
    </row>
    <row r="2997" spans="1:8" x14ac:dyDescent="0.25">
      <c r="A2997" s="89"/>
      <c r="B2997" s="191"/>
      <c r="E2997" s="94"/>
      <c r="F2997" s="94"/>
      <c r="G2997" s="94"/>
    </row>
    <row r="2998" spans="1:8" x14ac:dyDescent="0.25">
      <c r="A2998" s="89"/>
      <c r="B2998" s="191"/>
      <c r="E2998" s="94"/>
      <c r="F2998" s="94"/>
      <c r="G2998" s="94"/>
    </row>
    <row r="2999" spans="1:8" x14ac:dyDescent="0.25">
      <c r="A2999" s="89"/>
      <c r="B2999" s="191"/>
      <c r="E2999" s="94"/>
      <c r="F2999" s="94"/>
      <c r="G2999" s="94"/>
    </row>
    <row r="3000" spans="1:8" x14ac:dyDescent="0.25">
      <c r="A3000" s="89"/>
      <c r="B3000" s="191"/>
      <c r="E3000" s="94"/>
      <c r="F3000" s="94"/>
      <c r="G3000" s="94"/>
    </row>
    <row r="3001" spans="1:8" ht="18" thickBot="1" x14ac:dyDescent="0.35">
      <c r="A3001" s="90" t="s">
        <v>1998</v>
      </c>
      <c r="B3001" s="90"/>
      <c r="C3001" s="90"/>
      <c r="D3001" s="90"/>
      <c r="E3001" s="95">
        <f>SUBTOTAL(109,Tabla1[INGRESO EFECTIVO])</f>
        <v>0</v>
      </c>
      <c r="F3001" s="95">
        <f>SUBTOTAL(109,Tabla1[INGRESO TRANS.ó QR])</f>
        <v>0</v>
      </c>
      <c r="G3001" s="96">
        <f>SUBTOTAL(109,Tabla1[EGRESO])</f>
        <v>0</v>
      </c>
      <c r="H3001" s="90"/>
    </row>
    <row r="3002" spans="1:8" s="90" customFormat="1" ht="18.600000000000001" thickTop="1" x14ac:dyDescent="0.35">
      <c r="A3002" s="91" t="s">
        <v>1999</v>
      </c>
      <c r="B3002" s="92"/>
      <c r="C3002" s="92"/>
      <c r="D3002" s="92"/>
      <c r="E3002" s="97">
        <f>Tabla1[[#Totals],[INGRESO EFECTIVO]]+Tabla1[[#Totals],[INGRESO TRANS.ó QR]]-Tabla1[[#Totals],[EGRESO]]</f>
        <v>0</v>
      </c>
      <c r="F3002" s="98"/>
      <c r="G3002" s="98"/>
      <c r="H3002" s="93"/>
    </row>
    <row r="3003" spans="1:8" s="90" customFormat="1" ht="17.399999999999999" x14ac:dyDescent="0.3">
      <c r="A3003" s="81"/>
      <c r="B3003" s="81"/>
      <c r="C3003" s="81"/>
      <c r="D3003" s="81"/>
      <c r="E3003" s="81"/>
      <c r="F3003" s="81"/>
      <c r="G3003" s="81"/>
      <c r="H3003" s="81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0C4CEC-5C1E-49B1-A2C0-EEDFAB4574BF}">
          <x14:formula1>
            <xm:f>Códigos!$A$2:$A$858</xm:f>
          </x14:formula1>
          <xm:sqref>C3:C3000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F300-508F-4603-83BE-2F85DB50B8A2}">
  <sheetPr codeName="Hoja3"/>
  <dimension ref="A1:A42"/>
  <sheetViews>
    <sheetView zoomScale="90" zoomScaleNormal="90" workbookViewId="0">
      <selection activeCell="A41" sqref="A41"/>
    </sheetView>
  </sheetViews>
  <sheetFormatPr baseColWidth="10" defaultColWidth="55.77734375" defaultRowHeight="15" x14ac:dyDescent="0.25"/>
  <cols>
    <col min="1" max="16384" width="55.77734375" style="81"/>
  </cols>
  <sheetData>
    <row r="1" spans="1:1" ht="24.6" x14ac:dyDescent="0.4">
      <c r="A1" s="83" t="s">
        <v>1961</v>
      </c>
    </row>
    <row r="3" spans="1:1" ht="15.6" x14ac:dyDescent="0.3">
      <c r="A3" s="84" t="s">
        <v>1963</v>
      </c>
    </row>
    <row r="4" spans="1:1" x14ac:dyDescent="0.25">
      <c r="A4" s="85" t="s">
        <v>1967</v>
      </c>
    </row>
    <row r="5" spans="1:1" x14ac:dyDescent="0.25">
      <c r="A5" s="85" t="s">
        <v>1968</v>
      </c>
    </row>
    <row r="6" spans="1:1" x14ac:dyDescent="0.25">
      <c r="A6" s="85" t="s">
        <v>1969</v>
      </c>
    </row>
    <row r="7" spans="1:1" x14ac:dyDescent="0.25">
      <c r="A7" s="85" t="s">
        <v>2211</v>
      </c>
    </row>
    <row r="8" spans="1:1" x14ac:dyDescent="0.25">
      <c r="A8" s="85" t="s">
        <v>1962</v>
      </c>
    </row>
    <row r="9" spans="1:1" x14ac:dyDescent="0.25">
      <c r="A9" s="85" t="s">
        <v>1973</v>
      </c>
    </row>
    <row r="10" spans="1:1" x14ac:dyDescent="0.25">
      <c r="A10" s="85" t="s">
        <v>1974</v>
      </c>
    </row>
    <row r="11" spans="1:1" x14ac:dyDescent="0.25">
      <c r="A11" s="85" t="s">
        <v>1971</v>
      </c>
    </row>
    <row r="12" spans="1:1" x14ac:dyDescent="0.25">
      <c r="A12" s="85" t="s">
        <v>1972</v>
      </c>
    </row>
    <row r="13" spans="1:1" x14ac:dyDescent="0.25">
      <c r="A13" s="85" t="s">
        <v>1970</v>
      </c>
    </row>
    <row r="14" spans="1:1" x14ac:dyDescent="0.25">
      <c r="A14" s="85" t="s">
        <v>1964</v>
      </c>
    </row>
    <row r="15" spans="1:1" x14ac:dyDescent="0.25">
      <c r="A15" s="85" t="s">
        <v>1965</v>
      </c>
    </row>
    <row r="16" spans="1:1" x14ac:dyDescent="0.25">
      <c r="A16" s="85" t="s">
        <v>1991</v>
      </c>
    </row>
    <row r="17" spans="1:1" x14ac:dyDescent="0.25">
      <c r="A17" s="85" t="s">
        <v>1992</v>
      </c>
    </row>
    <row r="18" spans="1:1" x14ac:dyDescent="0.25">
      <c r="A18" s="85" t="s">
        <v>1993</v>
      </c>
    </row>
    <row r="19" spans="1:1" x14ac:dyDescent="0.25">
      <c r="A19" s="85" t="s">
        <v>1994</v>
      </c>
    </row>
    <row r="20" spans="1:1" x14ac:dyDescent="0.25">
      <c r="A20" s="85" t="s">
        <v>1995</v>
      </c>
    </row>
    <row r="21" spans="1:1" x14ac:dyDescent="0.25">
      <c r="A21" s="85" t="s">
        <v>1966</v>
      </c>
    </row>
    <row r="22" spans="1:1" x14ac:dyDescent="0.25">
      <c r="A22" s="85" t="s">
        <v>2212</v>
      </c>
    </row>
    <row r="23" spans="1:1" x14ac:dyDescent="0.25">
      <c r="A23" s="85" t="s">
        <v>2213</v>
      </c>
    </row>
    <row r="24" spans="1:1" x14ac:dyDescent="0.25">
      <c r="A24" s="86" t="s">
        <v>1983</v>
      </c>
    </row>
    <row r="25" spans="1:1" x14ac:dyDescent="0.25">
      <c r="A25" s="86" t="s">
        <v>1978</v>
      </c>
    </row>
    <row r="26" spans="1:1" x14ac:dyDescent="0.25">
      <c r="A26" s="86" t="s">
        <v>1976</v>
      </c>
    </row>
    <row r="27" spans="1:1" x14ac:dyDescent="0.25">
      <c r="A27" s="86" t="s">
        <v>1984</v>
      </c>
    </row>
    <row r="28" spans="1:1" x14ac:dyDescent="0.25">
      <c r="A28" s="86" t="s">
        <v>1977</v>
      </c>
    </row>
    <row r="29" spans="1:1" x14ac:dyDescent="0.25">
      <c r="A29" s="86" t="s">
        <v>1982</v>
      </c>
    </row>
    <row r="30" spans="1:1" x14ac:dyDescent="0.25">
      <c r="A30" s="86" t="s">
        <v>1979</v>
      </c>
    </row>
    <row r="31" spans="1:1" x14ac:dyDescent="0.25">
      <c r="A31" s="86" t="s">
        <v>1975</v>
      </c>
    </row>
    <row r="32" spans="1:1" x14ac:dyDescent="0.25">
      <c r="A32" s="86" t="s">
        <v>1985</v>
      </c>
    </row>
    <row r="33" spans="1:1" x14ac:dyDescent="0.25">
      <c r="A33" s="86" t="s">
        <v>2210</v>
      </c>
    </row>
    <row r="34" spans="1:1" x14ac:dyDescent="0.25">
      <c r="A34" s="86" t="s">
        <v>2209</v>
      </c>
    </row>
    <row r="35" spans="1:1" x14ac:dyDescent="0.25">
      <c r="A35" s="86" t="s">
        <v>1981</v>
      </c>
    </row>
    <row r="36" spans="1:1" x14ac:dyDescent="0.25">
      <c r="A36" s="86" t="s">
        <v>1986</v>
      </c>
    </row>
    <row r="37" spans="1:1" x14ac:dyDescent="0.25">
      <c r="A37" s="86" t="s">
        <v>1987</v>
      </c>
    </row>
    <row r="38" spans="1:1" x14ac:dyDescent="0.25">
      <c r="A38" s="86" t="s">
        <v>1988</v>
      </c>
    </row>
    <row r="39" spans="1:1" x14ac:dyDescent="0.25">
      <c r="A39" s="86" t="s">
        <v>1989</v>
      </c>
    </row>
    <row r="40" spans="1:1" x14ac:dyDescent="0.25">
      <c r="A40" s="86" t="s">
        <v>1990</v>
      </c>
    </row>
    <row r="41" spans="1:1" x14ac:dyDescent="0.25">
      <c r="A41" s="86" t="s">
        <v>2214</v>
      </c>
    </row>
    <row r="42" spans="1:1" x14ac:dyDescent="0.25">
      <c r="A42" s="86" t="s">
        <v>1980</v>
      </c>
    </row>
  </sheetData>
  <sortState xmlns:xlrd2="http://schemas.microsoft.com/office/spreadsheetml/2017/richdata2" ref="A4:A23">
    <sortCondition ref="A4:A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S45"/>
  <sheetViews>
    <sheetView zoomScale="80" zoomScaleNormal="80" workbookViewId="0">
      <selection activeCell="R7" sqref="R7"/>
    </sheetView>
  </sheetViews>
  <sheetFormatPr baseColWidth="10" defaultColWidth="11.44140625" defaultRowHeight="13.8" x14ac:dyDescent="0.25"/>
  <cols>
    <col min="1" max="10" width="9.6640625" style="37" customWidth="1"/>
    <col min="11" max="11" width="11" style="37" customWidth="1"/>
    <col min="12" max="14" width="9.6640625" style="37" customWidth="1"/>
    <col min="15" max="15" width="10.109375" style="37" customWidth="1"/>
    <col min="16" max="16" width="2" style="37" customWidth="1"/>
    <col min="17" max="16384" width="11.44140625" style="37"/>
  </cols>
  <sheetData>
    <row r="1" spans="1:19" ht="22.5" customHeight="1" x14ac:dyDescent="0.25">
      <c r="A1" s="126" t="s">
        <v>1954</v>
      </c>
      <c r="B1" s="126"/>
      <c r="C1" s="126"/>
      <c r="D1" s="126"/>
      <c r="E1" s="126"/>
      <c r="F1" s="126"/>
      <c r="G1" s="126"/>
      <c r="H1" s="126"/>
      <c r="I1" s="126"/>
      <c r="J1" s="126"/>
    </row>
    <row r="2" spans="1:19" ht="24.75" customHeight="1" thickBot="1" x14ac:dyDescent="0.3">
      <c r="A2" s="126"/>
      <c r="B2" s="126"/>
      <c r="C2" s="126"/>
      <c r="D2" s="126"/>
      <c r="E2" s="126"/>
      <c r="F2" s="126"/>
      <c r="G2" s="126"/>
      <c r="H2" s="126"/>
      <c r="I2" s="126"/>
      <c r="J2" s="126"/>
    </row>
    <row r="3" spans="1:19" ht="24.75" customHeight="1" thickBot="1" x14ac:dyDescent="0.3">
      <c r="A3" s="38" t="s">
        <v>154</v>
      </c>
      <c r="B3" s="13"/>
      <c r="C3" s="39"/>
      <c r="E3" s="167">
        <v>2018042</v>
      </c>
      <c r="F3" s="168"/>
      <c r="G3" s="39"/>
      <c r="H3" s="39"/>
      <c r="I3" s="161"/>
      <c r="J3" s="161"/>
      <c r="K3" s="161"/>
      <c r="L3" s="39"/>
      <c r="M3" s="39"/>
      <c r="N3" s="39"/>
      <c r="O3" s="39"/>
    </row>
    <row r="4" spans="1:19" ht="24.75" customHeight="1" thickBot="1" x14ac:dyDescent="0.3">
      <c r="A4" s="38" t="s">
        <v>188</v>
      </c>
      <c r="B4" s="13"/>
      <c r="C4" s="39"/>
      <c r="E4" s="147">
        <f ca="1">TODAY()</f>
        <v>45309</v>
      </c>
      <c r="F4" s="148"/>
      <c r="G4" s="148"/>
      <c r="H4" s="169"/>
      <c r="I4" s="39"/>
      <c r="J4" s="40"/>
      <c r="K4" s="41" t="s">
        <v>165</v>
      </c>
      <c r="L4" s="173" t="str">
        <f>VLOOKUP(E3,Códigos!A1:L858,7,)</f>
        <v>62616711m/68462255p/4795082c</v>
      </c>
      <c r="M4" s="174"/>
      <c r="N4" s="174"/>
      <c r="O4" s="175"/>
    </row>
    <row r="5" spans="1:19" ht="32.25" customHeight="1" thickBot="1" x14ac:dyDescent="0.3">
      <c r="A5" s="38" t="s">
        <v>141</v>
      </c>
      <c r="B5" s="13"/>
      <c r="C5" s="39"/>
      <c r="E5" s="170" t="str">
        <f>VLOOKUP(E3,Códigos!A1:L858,5,)</f>
        <v>SUAZNABAR</v>
      </c>
      <c r="F5" s="171"/>
      <c r="G5" s="171"/>
      <c r="H5" s="171"/>
      <c r="I5" s="171"/>
      <c r="J5" s="172"/>
      <c r="K5" s="13" t="s">
        <v>153</v>
      </c>
      <c r="L5" s="162">
        <f>VLOOKUP(E3,Códigos!A1:L858,6,)</f>
        <v>4560429</v>
      </c>
      <c r="M5" s="163"/>
      <c r="N5" s="163"/>
      <c r="O5" s="164"/>
    </row>
    <row r="6" spans="1:19" ht="24.75" customHeight="1" thickBot="1" x14ac:dyDescent="0.3">
      <c r="A6" s="38" t="s">
        <v>189</v>
      </c>
      <c r="B6" s="13"/>
      <c r="C6" s="39"/>
      <c r="E6" s="170" t="str">
        <f>VLOOKUP(E3,Códigos!A1:L858,4,)</f>
        <v>GISELLE - ESTEBAN</v>
      </c>
      <c r="F6" s="171"/>
      <c r="G6" s="171"/>
      <c r="H6" s="171"/>
      <c r="I6" s="171"/>
      <c r="J6" s="172"/>
      <c r="K6" s="13" t="s">
        <v>144</v>
      </c>
      <c r="L6" s="165" t="str">
        <f>VLOOKUP(E3,Códigos!A1:L858,2,)</f>
        <v>3ºp-6ºp</v>
      </c>
      <c r="M6" s="166"/>
      <c r="N6" s="42"/>
      <c r="O6" s="42"/>
    </row>
    <row r="7" spans="1:19" ht="24.75" customHeight="1" thickBot="1" x14ac:dyDescent="0.3">
      <c r="A7" s="38" t="s">
        <v>145</v>
      </c>
      <c r="D7" s="154" t="str">
        <f>VLOOKUP(E3,Códigos!A1:L858,9,)</f>
        <v/>
      </c>
      <c r="E7" s="155"/>
      <c r="F7" s="156" t="s">
        <v>190</v>
      </c>
      <c r="G7" s="157"/>
      <c r="H7" s="158"/>
      <c r="I7" s="159">
        <f>VLOOKUP(E3,Códigos!A1:L858,8,)</f>
        <v>3</v>
      </c>
      <c r="J7" s="160"/>
      <c r="K7" s="13" t="s">
        <v>143</v>
      </c>
      <c r="L7" s="138" t="str">
        <f>VLOOKUP(E3,Códigos!A1:L858,12,)</f>
        <v>PRIM - SEC</v>
      </c>
      <c r="M7" s="139"/>
      <c r="N7" s="139"/>
      <c r="O7" s="140"/>
    </row>
    <row r="8" spans="1:19" ht="24.75" customHeight="1" thickBot="1" x14ac:dyDescent="0.3">
      <c r="A8" s="38" t="s">
        <v>142</v>
      </c>
      <c r="B8" s="13"/>
      <c r="C8" s="39"/>
      <c r="E8" s="150" t="str">
        <f>VLOOKUP(E3,Códigos!A1:L858,3,)</f>
        <v>Mercado Suaznabar Cecilia - Sofia</v>
      </c>
      <c r="F8" s="151"/>
      <c r="G8" s="152"/>
      <c r="H8" s="152"/>
      <c r="I8" s="152"/>
      <c r="J8" s="151"/>
      <c r="K8" s="151"/>
      <c r="L8" s="151"/>
      <c r="M8" s="151"/>
      <c r="N8" s="151"/>
      <c r="O8" s="153"/>
      <c r="R8" s="13"/>
      <c r="S8" s="39"/>
    </row>
    <row r="9" spans="1:19" ht="26.1" customHeight="1" x14ac:dyDescent="0.3">
      <c r="A9" s="127" t="s">
        <v>152</v>
      </c>
      <c r="B9" s="128"/>
      <c r="C9" s="129"/>
      <c r="D9" s="127" t="s">
        <v>152</v>
      </c>
      <c r="E9" s="128"/>
      <c r="F9" s="128"/>
      <c r="G9" s="142" t="s">
        <v>152</v>
      </c>
      <c r="H9" s="142"/>
      <c r="I9" s="142"/>
      <c r="J9" s="128" t="s">
        <v>152</v>
      </c>
      <c r="K9" s="128"/>
      <c r="L9" s="129"/>
      <c r="M9" s="127" t="s">
        <v>152</v>
      </c>
      <c r="N9" s="128"/>
      <c r="O9" s="129"/>
      <c r="R9" s="43"/>
    </row>
    <row r="10" spans="1:19" ht="30" customHeight="1" x14ac:dyDescent="0.35">
      <c r="A10" s="131" t="s">
        <v>159</v>
      </c>
      <c r="B10" s="132"/>
      <c r="C10" s="132"/>
      <c r="D10" s="131" t="s">
        <v>159</v>
      </c>
      <c r="E10" s="132"/>
      <c r="F10" s="132"/>
      <c r="G10" s="131" t="s">
        <v>159</v>
      </c>
      <c r="H10" s="132"/>
      <c r="I10" s="132"/>
      <c r="J10" s="131" t="s">
        <v>159</v>
      </c>
      <c r="K10" s="132"/>
      <c r="L10" s="132"/>
      <c r="M10" s="131" t="s">
        <v>159</v>
      </c>
      <c r="N10" s="132"/>
      <c r="O10" s="141"/>
    </row>
    <row r="11" spans="1:19" s="39" customFormat="1" ht="26.1" customHeight="1" x14ac:dyDescent="0.3">
      <c r="A11" s="130" t="s">
        <v>146</v>
      </c>
      <c r="B11" s="124"/>
      <c r="C11" s="124"/>
      <c r="D11" s="130" t="s">
        <v>148</v>
      </c>
      <c r="E11" s="124"/>
      <c r="F11" s="125"/>
      <c r="G11" s="124" t="s">
        <v>149</v>
      </c>
      <c r="H11" s="124"/>
      <c r="I11" s="124"/>
      <c r="J11" s="130" t="s">
        <v>150</v>
      </c>
      <c r="K11" s="124"/>
      <c r="L11" s="125"/>
      <c r="M11" s="124" t="s">
        <v>151</v>
      </c>
      <c r="N11" s="124"/>
      <c r="O11" s="125"/>
    </row>
    <row r="12" spans="1:19" ht="35.1" customHeight="1" x14ac:dyDescent="0.35">
      <c r="A12" s="68" t="s">
        <v>147</v>
      </c>
      <c r="B12" s="69"/>
      <c r="C12" s="69"/>
      <c r="D12" s="68" t="s">
        <v>147</v>
      </c>
      <c r="E12" s="69"/>
      <c r="F12" s="70"/>
      <c r="G12" s="69" t="s">
        <v>147</v>
      </c>
      <c r="H12" s="69"/>
      <c r="I12" s="69"/>
      <c r="J12" s="68" t="s">
        <v>147</v>
      </c>
      <c r="K12" s="71"/>
      <c r="L12" s="72"/>
      <c r="M12" s="69" t="s">
        <v>147</v>
      </c>
      <c r="N12" s="69"/>
      <c r="O12" s="70"/>
    </row>
    <row r="13" spans="1:19" ht="35.1" customHeight="1" x14ac:dyDescent="0.35">
      <c r="A13" s="73" t="s">
        <v>158</v>
      </c>
      <c r="B13" s="69"/>
      <c r="C13" s="69"/>
      <c r="D13" s="73" t="s">
        <v>158</v>
      </c>
      <c r="E13" s="69"/>
      <c r="F13" s="70"/>
      <c r="G13" s="74" t="s">
        <v>158</v>
      </c>
      <c r="H13" s="69"/>
      <c r="I13" s="69"/>
      <c r="J13" s="73" t="s">
        <v>158</v>
      </c>
      <c r="K13" s="71"/>
      <c r="L13" s="72"/>
      <c r="M13" s="74" t="s">
        <v>158</v>
      </c>
      <c r="N13" s="69"/>
      <c r="O13" s="70"/>
    </row>
    <row r="14" spans="1:19" ht="39.9" customHeight="1" x14ac:dyDescent="0.35">
      <c r="A14" s="68"/>
      <c r="B14" s="69"/>
      <c r="C14" s="69"/>
      <c r="D14" s="68"/>
      <c r="E14" s="69"/>
      <c r="F14" s="70"/>
      <c r="G14" s="69"/>
      <c r="H14" s="69"/>
      <c r="I14" s="69"/>
      <c r="J14" s="68"/>
      <c r="K14" s="71"/>
      <c r="L14" s="72"/>
      <c r="M14" s="69"/>
      <c r="N14" s="69"/>
      <c r="O14" s="70"/>
    </row>
    <row r="15" spans="1:19" ht="39.9" customHeight="1" thickBot="1" x14ac:dyDescent="0.4">
      <c r="A15" s="75"/>
      <c r="B15" s="76"/>
      <c r="C15" s="76"/>
      <c r="D15" s="75"/>
      <c r="E15" s="76"/>
      <c r="F15" s="77"/>
      <c r="G15" s="78"/>
      <c r="H15" s="76"/>
      <c r="I15" s="76"/>
      <c r="J15" s="75"/>
      <c r="K15" s="79"/>
      <c r="L15" s="80"/>
      <c r="M15" s="78"/>
      <c r="N15" s="76"/>
      <c r="O15" s="77"/>
    </row>
    <row r="16" spans="1:19" ht="26.1" customHeight="1" x14ac:dyDescent="0.3">
      <c r="A16" s="127" t="s">
        <v>152</v>
      </c>
      <c r="B16" s="128"/>
      <c r="C16" s="129"/>
      <c r="D16" s="127" t="s">
        <v>152</v>
      </c>
      <c r="E16" s="128"/>
      <c r="F16" s="129"/>
      <c r="G16" s="127" t="s">
        <v>152</v>
      </c>
      <c r="H16" s="128"/>
      <c r="I16" s="129"/>
      <c r="J16" s="127" t="s">
        <v>152</v>
      </c>
      <c r="K16" s="128"/>
      <c r="L16" s="129"/>
      <c r="M16" s="127" t="s">
        <v>152</v>
      </c>
      <c r="N16" s="128"/>
      <c r="O16" s="129"/>
    </row>
    <row r="17" spans="1:15" ht="30" customHeight="1" x14ac:dyDescent="0.35">
      <c r="A17" s="131" t="s">
        <v>159</v>
      </c>
      <c r="B17" s="132"/>
      <c r="C17" s="132"/>
      <c r="D17" s="131" t="s">
        <v>159</v>
      </c>
      <c r="E17" s="132"/>
      <c r="F17" s="132"/>
      <c r="G17" s="131" t="s">
        <v>159</v>
      </c>
      <c r="H17" s="132"/>
      <c r="I17" s="132"/>
      <c r="J17" s="131" t="s">
        <v>159</v>
      </c>
      <c r="K17" s="132"/>
      <c r="L17" s="132"/>
      <c r="M17" s="131" t="s">
        <v>159</v>
      </c>
      <c r="N17" s="132"/>
      <c r="O17" s="141"/>
    </row>
    <row r="18" spans="1:15" s="39" customFormat="1" ht="26.1" customHeight="1" x14ac:dyDescent="0.3">
      <c r="A18" s="130" t="s">
        <v>160</v>
      </c>
      <c r="B18" s="124"/>
      <c r="C18" s="124"/>
      <c r="D18" s="130" t="s">
        <v>161</v>
      </c>
      <c r="E18" s="124"/>
      <c r="F18" s="125"/>
      <c r="G18" s="124" t="s">
        <v>162</v>
      </c>
      <c r="H18" s="124"/>
      <c r="I18" s="124"/>
      <c r="J18" s="130" t="s">
        <v>163</v>
      </c>
      <c r="K18" s="124"/>
      <c r="L18" s="125"/>
      <c r="M18" s="124" t="s">
        <v>164</v>
      </c>
      <c r="N18" s="124"/>
      <c r="O18" s="125"/>
    </row>
    <row r="19" spans="1:15" ht="35.1" customHeight="1" x14ac:dyDescent="0.35">
      <c r="A19" s="68" t="s">
        <v>147</v>
      </c>
      <c r="B19" s="69"/>
      <c r="C19" s="69"/>
      <c r="D19" s="68" t="s">
        <v>147</v>
      </c>
      <c r="E19" s="69"/>
      <c r="F19" s="70"/>
      <c r="G19" s="69" t="s">
        <v>147</v>
      </c>
      <c r="H19" s="69"/>
      <c r="I19" s="69"/>
      <c r="J19" s="68" t="s">
        <v>147</v>
      </c>
      <c r="K19" s="69"/>
      <c r="L19" s="70"/>
      <c r="M19" s="69" t="s">
        <v>147</v>
      </c>
      <c r="N19" s="69"/>
      <c r="O19" s="72"/>
    </row>
    <row r="20" spans="1:15" ht="35.1" customHeight="1" x14ac:dyDescent="0.35">
      <c r="A20" s="73" t="s">
        <v>158</v>
      </c>
      <c r="B20" s="69"/>
      <c r="C20" s="69"/>
      <c r="D20" s="73" t="s">
        <v>158</v>
      </c>
      <c r="E20" s="69"/>
      <c r="F20" s="70"/>
      <c r="G20" s="74" t="s">
        <v>158</v>
      </c>
      <c r="H20" s="69"/>
      <c r="I20" s="69"/>
      <c r="J20" s="73" t="s">
        <v>158</v>
      </c>
      <c r="K20" s="69"/>
      <c r="L20" s="70"/>
      <c r="M20" s="74" t="s">
        <v>158</v>
      </c>
      <c r="N20" s="69"/>
      <c r="O20" s="72"/>
    </row>
    <row r="21" spans="1:15" ht="39.9" customHeight="1" x14ac:dyDescent="0.35">
      <c r="A21" s="68"/>
      <c r="B21" s="69"/>
      <c r="C21" s="69"/>
      <c r="D21" s="68"/>
      <c r="E21" s="69"/>
      <c r="F21" s="70"/>
      <c r="G21" s="69"/>
      <c r="H21" s="69"/>
      <c r="I21" s="69"/>
      <c r="J21" s="68"/>
      <c r="K21" s="69"/>
      <c r="L21" s="70"/>
      <c r="M21" s="69"/>
      <c r="N21" s="69"/>
      <c r="O21" s="72"/>
    </row>
    <row r="22" spans="1:15" ht="39.9" customHeight="1" thickBot="1" x14ac:dyDescent="0.4">
      <c r="A22" s="75"/>
      <c r="B22" s="76"/>
      <c r="C22" s="76"/>
      <c r="D22" s="75"/>
      <c r="E22" s="76"/>
      <c r="F22" s="77"/>
      <c r="G22" s="78"/>
      <c r="H22" s="76"/>
      <c r="I22" s="76"/>
      <c r="J22" s="75"/>
      <c r="K22" s="76"/>
      <c r="L22" s="77"/>
      <c r="M22" s="78"/>
      <c r="N22" s="76"/>
      <c r="O22" s="80"/>
    </row>
    <row r="23" spans="1:15" ht="24.75" customHeight="1" x14ac:dyDescent="0.25"/>
    <row r="24" spans="1:15" ht="60" customHeight="1" x14ac:dyDescent="0.25"/>
    <row r="25" spans="1:15" ht="24.75" customHeight="1" x14ac:dyDescent="0.25"/>
    <row r="26" spans="1:15" ht="24.75" customHeight="1" x14ac:dyDescent="0.25">
      <c r="A26" s="146" t="s">
        <v>166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</row>
    <row r="27" spans="1:15" ht="24.75" customHeight="1" thickBot="1" x14ac:dyDescent="0.3">
      <c r="A27" s="146" t="s">
        <v>1955</v>
      </c>
      <c r="B27" s="146"/>
      <c r="C27" s="146"/>
      <c r="D27" s="146"/>
      <c r="E27" s="146"/>
      <c r="F27" s="146"/>
      <c r="G27" s="146"/>
      <c r="H27" s="146"/>
      <c r="I27" s="146"/>
      <c r="J27" s="146"/>
    </row>
    <row r="28" spans="1:15" ht="24.75" customHeight="1" thickBot="1" x14ac:dyDescent="0.3">
      <c r="A28" s="38" t="s">
        <v>154</v>
      </c>
      <c r="B28" s="13"/>
      <c r="C28" s="39"/>
      <c r="E28" s="143">
        <f>+E3</f>
        <v>2018042</v>
      </c>
      <c r="F28" s="144"/>
      <c r="G28" s="39"/>
      <c r="H28" s="145" t="s">
        <v>1233</v>
      </c>
      <c r="I28" s="145"/>
      <c r="J28" s="145"/>
      <c r="K28" s="44" t="s">
        <v>1234</v>
      </c>
      <c r="L28" s="44" t="s">
        <v>1235</v>
      </c>
      <c r="M28" s="44" t="s">
        <v>1236</v>
      </c>
      <c r="N28" s="44" t="s">
        <v>1237</v>
      </c>
    </row>
    <row r="29" spans="1:15" ht="24.75" customHeight="1" thickBot="1" x14ac:dyDescent="0.3">
      <c r="A29" s="38" t="s">
        <v>188</v>
      </c>
      <c r="B29" s="13"/>
      <c r="C29" s="39"/>
      <c r="E29" s="147">
        <f ca="1">+E4</f>
        <v>45309</v>
      </c>
      <c r="F29" s="148"/>
      <c r="G29" s="148" t="e">
        <f>VLOOKUP(#REF!,Códigos!#REF!,2,)</f>
        <v>#REF!</v>
      </c>
      <c r="H29" s="149"/>
      <c r="I29" s="39"/>
      <c r="J29" s="39"/>
      <c r="L29" s="41" t="s">
        <v>144</v>
      </c>
      <c r="M29" s="176" t="str">
        <f>VLOOKUP(E3,Códigos!A1:L858,2,)</f>
        <v>3ºp-6ºp</v>
      </c>
      <c r="N29" s="177"/>
      <c r="O29" s="39"/>
    </row>
    <row r="30" spans="1:15" ht="24.75" customHeight="1" thickBot="1" x14ac:dyDescent="0.3">
      <c r="A30" s="45" t="s">
        <v>192</v>
      </c>
      <c r="B30" s="46"/>
      <c r="C30" s="47"/>
      <c r="D30" s="47"/>
      <c r="E30" s="48"/>
      <c r="F30" s="48"/>
      <c r="G30" s="133" t="str">
        <f>VLOOKUP(E28,Códigos!A1:L837,10,)</f>
        <v/>
      </c>
      <c r="H30" s="134"/>
      <c r="I30" s="49" t="s">
        <v>191</v>
      </c>
      <c r="J30" s="50"/>
      <c r="K30" s="51">
        <f>VLOOKUP(E28,Códigos!A1:L837,8,)</f>
        <v>3</v>
      </c>
      <c r="L30" s="41" t="s">
        <v>143</v>
      </c>
      <c r="M30" s="138" t="str">
        <f>VLOOKUP(E28,Códigos!A1:L837,12,)</f>
        <v>PRIM - SEC</v>
      </c>
      <c r="N30" s="139"/>
      <c r="O30" s="140"/>
    </row>
    <row r="31" spans="1:15" ht="24.75" customHeight="1" thickBot="1" x14ac:dyDescent="0.3">
      <c r="A31" s="38" t="s">
        <v>142</v>
      </c>
      <c r="B31" s="13"/>
      <c r="C31" s="39"/>
      <c r="E31" s="135" t="str">
        <f>VLOOKUP(E28,Códigos!A1:L837,3,)</f>
        <v>Mercado Suaznabar Cecilia - Sofia</v>
      </c>
      <c r="F31" s="136"/>
      <c r="G31" s="136"/>
      <c r="H31" s="136"/>
      <c r="I31" s="136"/>
      <c r="J31" s="136"/>
      <c r="K31" s="136"/>
      <c r="L31" s="136"/>
      <c r="M31" s="136"/>
      <c r="N31" s="136"/>
      <c r="O31" s="137"/>
    </row>
    <row r="32" spans="1:15" ht="26.1" customHeight="1" x14ac:dyDescent="0.3">
      <c r="A32" s="127" t="s">
        <v>152</v>
      </c>
      <c r="B32" s="128"/>
      <c r="C32" s="129"/>
      <c r="D32" s="127" t="s">
        <v>152</v>
      </c>
      <c r="E32" s="128"/>
      <c r="F32" s="129"/>
      <c r="G32" s="127" t="s">
        <v>152</v>
      </c>
      <c r="H32" s="128"/>
      <c r="I32" s="129"/>
      <c r="J32" s="127" t="s">
        <v>152</v>
      </c>
      <c r="K32" s="128"/>
      <c r="L32" s="129"/>
      <c r="M32" s="127" t="s">
        <v>152</v>
      </c>
      <c r="N32" s="128"/>
      <c r="O32" s="129"/>
    </row>
    <row r="33" spans="1:15" ht="30" customHeight="1" x14ac:dyDescent="0.35">
      <c r="A33" s="131" t="s">
        <v>159</v>
      </c>
      <c r="B33" s="132"/>
      <c r="C33" s="132"/>
      <c r="D33" s="131" t="s">
        <v>159</v>
      </c>
      <c r="E33" s="132"/>
      <c r="F33" s="132"/>
      <c r="G33" s="131" t="s">
        <v>159</v>
      </c>
      <c r="H33" s="132"/>
      <c r="I33" s="132"/>
      <c r="J33" s="131" t="s">
        <v>159</v>
      </c>
      <c r="K33" s="132"/>
      <c r="L33" s="132"/>
      <c r="M33" s="131" t="s">
        <v>159</v>
      </c>
      <c r="N33" s="132"/>
      <c r="O33" s="141"/>
    </row>
    <row r="34" spans="1:15" s="39" customFormat="1" ht="26.1" customHeight="1" x14ac:dyDescent="0.3">
      <c r="A34" s="130" t="s">
        <v>146</v>
      </c>
      <c r="B34" s="124"/>
      <c r="C34" s="124"/>
      <c r="D34" s="130" t="s">
        <v>148</v>
      </c>
      <c r="E34" s="124"/>
      <c r="F34" s="125"/>
      <c r="G34" s="124" t="s">
        <v>149</v>
      </c>
      <c r="H34" s="124"/>
      <c r="I34" s="124"/>
      <c r="J34" s="130" t="s">
        <v>150</v>
      </c>
      <c r="K34" s="124"/>
      <c r="L34" s="125"/>
      <c r="M34" s="124" t="s">
        <v>151</v>
      </c>
      <c r="N34" s="124"/>
      <c r="O34" s="125"/>
    </row>
    <row r="35" spans="1:15" ht="35.1" customHeight="1" x14ac:dyDescent="0.35">
      <c r="A35" s="68" t="s">
        <v>147</v>
      </c>
      <c r="B35" s="69"/>
      <c r="C35" s="69"/>
      <c r="D35" s="68" t="s">
        <v>147</v>
      </c>
      <c r="E35" s="69"/>
      <c r="F35" s="70"/>
      <c r="G35" s="69" t="s">
        <v>147</v>
      </c>
      <c r="H35" s="69"/>
      <c r="I35" s="69"/>
      <c r="J35" s="68" t="s">
        <v>147</v>
      </c>
      <c r="K35" s="71"/>
      <c r="L35" s="72"/>
      <c r="M35" s="69" t="s">
        <v>147</v>
      </c>
      <c r="N35" s="69"/>
      <c r="O35" s="70"/>
    </row>
    <row r="36" spans="1:15" ht="35.1" customHeight="1" x14ac:dyDescent="0.35">
      <c r="A36" s="73" t="s">
        <v>158</v>
      </c>
      <c r="B36" s="69"/>
      <c r="C36" s="69"/>
      <c r="D36" s="73" t="s">
        <v>158</v>
      </c>
      <c r="E36" s="69"/>
      <c r="F36" s="70"/>
      <c r="G36" s="74" t="s">
        <v>158</v>
      </c>
      <c r="H36" s="69"/>
      <c r="I36" s="69"/>
      <c r="J36" s="73" t="s">
        <v>158</v>
      </c>
      <c r="K36" s="71"/>
      <c r="L36" s="72"/>
      <c r="M36" s="74" t="s">
        <v>158</v>
      </c>
      <c r="N36" s="69"/>
      <c r="O36" s="70"/>
    </row>
    <row r="37" spans="1:15" ht="39.9" customHeight="1" x14ac:dyDescent="0.35">
      <c r="A37" s="68"/>
      <c r="B37" s="69"/>
      <c r="C37" s="69"/>
      <c r="D37" s="68"/>
      <c r="E37" s="69"/>
      <c r="F37" s="70"/>
      <c r="G37" s="69"/>
      <c r="H37" s="69"/>
      <c r="I37" s="69"/>
      <c r="J37" s="68"/>
      <c r="K37" s="71"/>
      <c r="L37" s="72"/>
      <c r="M37" s="69"/>
      <c r="N37" s="69"/>
      <c r="O37" s="70"/>
    </row>
    <row r="38" spans="1:15" ht="39.9" customHeight="1" thickBot="1" x14ac:dyDescent="0.4">
      <c r="A38" s="75"/>
      <c r="B38" s="76"/>
      <c r="C38" s="76"/>
      <c r="D38" s="75"/>
      <c r="E38" s="76"/>
      <c r="F38" s="77"/>
      <c r="G38" s="78"/>
      <c r="H38" s="76"/>
      <c r="I38" s="76"/>
      <c r="J38" s="75"/>
      <c r="K38" s="79"/>
      <c r="L38" s="80"/>
      <c r="M38" s="78"/>
      <c r="N38" s="76"/>
      <c r="O38" s="77"/>
    </row>
    <row r="39" spans="1:15" ht="30" customHeight="1" x14ac:dyDescent="0.3">
      <c r="A39" s="127" t="s">
        <v>152</v>
      </c>
      <c r="B39" s="128"/>
      <c r="C39" s="129"/>
      <c r="D39" s="127" t="s">
        <v>152</v>
      </c>
      <c r="E39" s="128"/>
      <c r="F39" s="129"/>
      <c r="G39" s="127" t="s">
        <v>152</v>
      </c>
      <c r="H39" s="128"/>
      <c r="I39" s="129"/>
      <c r="J39" s="127" t="s">
        <v>152</v>
      </c>
      <c r="K39" s="128"/>
      <c r="L39" s="129"/>
      <c r="M39" s="127" t="s">
        <v>152</v>
      </c>
      <c r="N39" s="128"/>
      <c r="O39" s="129"/>
    </row>
    <row r="40" spans="1:15" ht="30" customHeight="1" x14ac:dyDescent="0.35">
      <c r="A40" s="131" t="s">
        <v>159</v>
      </c>
      <c r="B40" s="132"/>
      <c r="C40" s="132"/>
      <c r="D40" s="131" t="s">
        <v>159</v>
      </c>
      <c r="E40" s="132"/>
      <c r="F40" s="132"/>
      <c r="G40" s="131" t="s">
        <v>159</v>
      </c>
      <c r="H40" s="132"/>
      <c r="I40" s="132"/>
      <c r="J40" s="131" t="s">
        <v>159</v>
      </c>
      <c r="K40" s="132"/>
      <c r="L40" s="132"/>
      <c r="M40" s="131" t="s">
        <v>159</v>
      </c>
      <c r="N40" s="132"/>
      <c r="O40" s="141"/>
    </row>
    <row r="41" spans="1:15" s="39" customFormat="1" ht="26.1" customHeight="1" x14ac:dyDescent="0.3">
      <c r="A41" s="130" t="s">
        <v>160</v>
      </c>
      <c r="B41" s="124"/>
      <c r="C41" s="124"/>
      <c r="D41" s="130" t="s">
        <v>161</v>
      </c>
      <c r="E41" s="124"/>
      <c r="F41" s="125"/>
      <c r="G41" s="124" t="s">
        <v>162</v>
      </c>
      <c r="H41" s="124"/>
      <c r="I41" s="124"/>
      <c r="J41" s="130" t="s">
        <v>163</v>
      </c>
      <c r="K41" s="124"/>
      <c r="L41" s="125"/>
      <c r="M41" s="124" t="s">
        <v>164</v>
      </c>
      <c r="N41" s="124"/>
      <c r="O41" s="125"/>
    </row>
    <row r="42" spans="1:15" ht="30" customHeight="1" x14ac:dyDescent="0.35">
      <c r="A42" s="68" t="s">
        <v>147</v>
      </c>
      <c r="B42" s="69"/>
      <c r="C42" s="69"/>
      <c r="D42" s="68" t="s">
        <v>147</v>
      </c>
      <c r="E42" s="69"/>
      <c r="F42" s="70"/>
      <c r="G42" s="69" t="s">
        <v>147</v>
      </c>
      <c r="H42" s="69"/>
      <c r="I42" s="69"/>
      <c r="J42" s="68" t="s">
        <v>147</v>
      </c>
      <c r="K42" s="69"/>
      <c r="L42" s="70"/>
      <c r="M42" s="69" t="s">
        <v>147</v>
      </c>
      <c r="N42" s="69"/>
      <c r="O42" s="72"/>
    </row>
    <row r="43" spans="1:15" ht="35.1" customHeight="1" x14ac:dyDescent="0.35">
      <c r="A43" s="73" t="s">
        <v>158</v>
      </c>
      <c r="B43" s="69"/>
      <c r="C43" s="69"/>
      <c r="D43" s="73" t="s">
        <v>158</v>
      </c>
      <c r="E43" s="69"/>
      <c r="F43" s="70"/>
      <c r="G43" s="74" t="s">
        <v>158</v>
      </c>
      <c r="H43" s="69"/>
      <c r="I43" s="69"/>
      <c r="J43" s="73" t="s">
        <v>158</v>
      </c>
      <c r="K43" s="69"/>
      <c r="L43" s="70"/>
      <c r="M43" s="74" t="s">
        <v>158</v>
      </c>
      <c r="N43" s="69"/>
      <c r="O43" s="72"/>
    </row>
    <row r="44" spans="1:15" ht="39.9" customHeight="1" x14ac:dyDescent="0.35">
      <c r="A44" s="68"/>
      <c r="B44" s="69"/>
      <c r="C44" s="69"/>
      <c r="D44" s="68"/>
      <c r="E44" s="69"/>
      <c r="F44" s="70"/>
      <c r="G44" s="69"/>
      <c r="H44" s="69"/>
      <c r="I44" s="69"/>
      <c r="J44" s="68"/>
      <c r="K44" s="69"/>
      <c r="L44" s="70"/>
      <c r="M44" s="69"/>
      <c r="N44" s="69"/>
      <c r="O44" s="72"/>
    </row>
    <row r="45" spans="1:15" ht="39.9" customHeight="1" thickBot="1" x14ac:dyDescent="0.4">
      <c r="A45" s="75"/>
      <c r="B45" s="76"/>
      <c r="C45" s="76"/>
      <c r="D45" s="75"/>
      <c r="E45" s="76"/>
      <c r="F45" s="77"/>
      <c r="G45" s="78"/>
      <c r="H45" s="76"/>
      <c r="I45" s="76"/>
      <c r="J45" s="75"/>
      <c r="K45" s="76"/>
      <c r="L45" s="77"/>
      <c r="M45" s="78"/>
      <c r="N45" s="76"/>
      <c r="O45" s="80"/>
    </row>
  </sheetData>
  <mergeCells count="83">
    <mergeCell ref="M29:N29"/>
    <mergeCell ref="A27:J27"/>
    <mergeCell ref="D11:F11"/>
    <mergeCell ref="G11:I11"/>
    <mergeCell ref="J11:L11"/>
    <mergeCell ref="A18:C18"/>
    <mergeCell ref="J18:L18"/>
    <mergeCell ref="M18:O18"/>
    <mergeCell ref="D17:F17"/>
    <mergeCell ref="G17:I17"/>
    <mergeCell ref="J17:L17"/>
    <mergeCell ref="M17:O17"/>
    <mergeCell ref="D18:F18"/>
    <mergeCell ref="G18:I18"/>
    <mergeCell ref="A17:C17"/>
    <mergeCell ref="A11:C11"/>
    <mergeCell ref="I3:K3"/>
    <mergeCell ref="L5:O5"/>
    <mergeCell ref="L6:M6"/>
    <mergeCell ref="E3:F3"/>
    <mergeCell ref="E4:H4"/>
    <mergeCell ref="E5:J5"/>
    <mergeCell ref="E6:J6"/>
    <mergeCell ref="L4:O4"/>
    <mergeCell ref="E8:O8"/>
    <mergeCell ref="D7:E7"/>
    <mergeCell ref="F7:H7"/>
    <mergeCell ref="I7:J7"/>
    <mergeCell ref="M10:O10"/>
    <mergeCell ref="J10:L10"/>
    <mergeCell ref="G10:I10"/>
    <mergeCell ref="L7:O7"/>
    <mergeCell ref="D10:F10"/>
    <mergeCell ref="M9:O9"/>
    <mergeCell ref="M16:O16"/>
    <mergeCell ref="J16:L16"/>
    <mergeCell ref="G16:I16"/>
    <mergeCell ref="M11:O11"/>
    <mergeCell ref="A39:C39"/>
    <mergeCell ref="D39:F39"/>
    <mergeCell ref="A26:K26"/>
    <mergeCell ref="E29:H29"/>
    <mergeCell ref="A33:C33"/>
    <mergeCell ref="D33:F33"/>
    <mergeCell ref="G33:I33"/>
    <mergeCell ref="A34:C34"/>
    <mergeCell ref="D34:F34"/>
    <mergeCell ref="G34:I34"/>
    <mergeCell ref="J34:L34"/>
    <mergeCell ref="M34:O34"/>
    <mergeCell ref="A9:C9"/>
    <mergeCell ref="D9:F9"/>
    <mergeCell ref="G9:I9"/>
    <mergeCell ref="J9:L9"/>
    <mergeCell ref="E28:F28"/>
    <mergeCell ref="A10:C10"/>
    <mergeCell ref="D16:F16"/>
    <mergeCell ref="A16:C16"/>
    <mergeCell ref="H28:J28"/>
    <mergeCell ref="G30:H30"/>
    <mergeCell ref="E31:O31"/>
    <mergeCell ref="M30:O30"/>
    <mergeCell ref="M40:O40"/>
    <mergeCell ref="J33:L33"/>
    <mergeCell ref="G39:I39"/>
    <mergeCell ref="J39:L39"/>
    <mergeCell ref="M33:O33"/>
    <mergeCell ref="M41:O41"/>
    <mergeCell ref="A1:J2"/>
    <mergeCell ref="A32:C32"/>
    <mergeCell ref="D32:F32"/>
    <mergeCell ref="G32:I32"/>
    <mergeCell ref="J32:L32"/>
    <mergeCell ref="A41:C41"/>
    <mergeCell ref="D41:F41"/>
    <mergeCell ref="G41:I41"/>
    <mergeCell ref="J41:L41"/>
    <mergeCell ref="M39:O39"/>
    <mergeCell ref="A40:C40"/>
    <mergeCell ref="D40:F40"/>
    <mergeCell ref="G40:I40"/>
    <mergeCell ref="J40:L40"/>
    <mergeCell ref="M32:O32"/>
  </mergeCells>
  <printOptions horizontalCentered="1"/>
  <pageMargins left="0.62992125984251968" right="0" top="0" bottom="0" header="0.31496062992125984" footer="0.31496062992125984"/>
  <pageSetup paperSize="5" scale="68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A1:M18"/>
  <sheetViews>
    <sheetView workbookViewId="0">
      <selection activeCell="N3" sqref="N3"/>
    </sheetView>
  </sheetViews>
  <sheetFormatPr baseColWidth="10" defaultRowHeight="14.4" x14ac:dyDescent="0.3"/>
  <cols>
    <col min="1" max="1" width="17.109375" customWidth="1"/>
    <col min="2" max="2" width="17.5546875" bestFit="1" customWidth="1"/>
  </cols>
  <sheetData>
    <row r="1" spans="1:13" ht="33" customHeight="1" x14ac:dyDescent="0.3"/>
    <row r="2" spans="1:13" ht="33" customHeight="1" x14ac:dyDescent="0.3"/>
    <row r="3" spans="1:13" ht="33" customHeight="1" x14ac:dyDescent="0.3"/>
    <row r="4" spans="1:13" x14ac:dyDescent="0.3">
      <c r="A4" s="14" t="s">
        <v>167</v>
      </c>
      <c r="B4" s="15" t="s">
        <v>168</v>
      </c>
      <c r="C4" s="178" t="s">
        <v>169</v>
      </c>
      <c r="D4" s="178"/>
      <c r="E4" s="178" t="s">
        <v>170</v>
      </c>
      <c r="F4" s="178"/>
      <c r="G4" s="178" t="s">
        <v>171</v>
      </c>
      <c r="H4" s="178"/>
      <c r="I4" s="178" t="s">
        <v>172</v>
      </c>
      <c r="J4" s="178"/>
      <c r="K4" s="178" t="s">
        <v>173</v>
      </c>
      <c r="L4" s="178"/>
      <c r="M4" s="8"/>
    </row>
    <row r="5" spans="1:13" x14ac:dyDescent="0.3">
      <c r="A5" s="16" t="s">
        <v>177</v>
      </c>
      <c r="B5" s="17" t="s">
        <v>176</v>
      </c>
      <c r="C5" s="18" t="s">
        <v>174</v>
      </c>
      <c r="D5" s="18" t="s">
        <v>175</v>
      </c>
      <c r="E5" s="18" t="s">
        <v>174</v>
      </c>
      <c r="F5" s="18" t="s">
        <v>175</v>
      </c>
      <c r="G5" s="18" t="s">
        <v>174</v>
      </c>
      <c r="H5" s="18" t="s">
        <v>175</v>
      </c>
      <c r="I5" s="18" t="s">
        <v>174</v>
      </c>
      <c r="J5" s="18" t="s">
        <v>175</v>
      </c>
      <c r="K5" s="18" t="s">
        <v>174</v>
      </c>
      <c r="L5" s="18" t="s">
        <v>175</v>
      </c>
      <c r="M5" s="8"/>
    </row>
    <row r="6" spans="1:13" s="11" customFormat="1" ht="41.25" customHeight="1" x14ac:dyDescent="0.3">
      <c r="A6" s="19" t="s">
        <v>178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3"/>
    </row>
    <row r="7" spans="1:13" s="11" customFormat="1" ht="41.25" customHeight="1" x14ac:dyDescent="0.3">
      <c r="A7" s="20" t="s">
        <v>179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3"/>
    </row>
    <row r="8" spans="1:13" s="11" customFormat="1" ht="41.25" customHeight="1" x14ac:dyDescent="0.3">
      <c r="A8" s="19" t="s">
        <v>186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3"/>
    </row>
    <row r="9" spans="1:13" s="11" customFormat="1" ht="41.25" customHeight="1" x14ac:dyDescent="0.3">
      <c r="A9" s="19" t="s">
        <v>187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3"/>
    </row>
    <row r="10" spans="1:13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14" t="s">
        <v>167</v>
      </c>
      <c r="B12" s="15" t="s">
        <v>168</v>
      </c>
      <c r="C12" s="178" t="s">
        <v>180</v>
      </c>
      <c r="D12" s="178"/>
      <c r="E12" s="178" t="s">
        <v>181</v>
      </c>
      <c r="F12" s="178"/>
      <c r="G12" s="178" t="s">
        <v>182</v>
      </c>
      <c r="H12" s="178"/>
      <c r="I12" s="178" t="s">
        <v>183</v>
      </c>
      <c r="J12" s="178"/>
      <c r="K12" s="178" t="s">
        <v>184</v>
      </c>
      <c r="L12" s="178"/>
      <c r="M12" s="8"/>
    </row>
    <row r="13" spans="1:13" x14ac:dyDescent="0.3">
      <c r="A13" s="16" t="s">
        <v>177</v>
      </c>
      <c r="B13" s="17" t="s">
        <v>176</v>
      </c>
      <c r="C13" s="18" t="s">
        <v>174</v>
      </c>
      <c r="D13" s="18" t="s">
        <v>175</v>
      </c>
      <c r="E13" s="18" t="s">
        <v>174</v>
      </c>
      <c r="F13" s="18" t="s">
        <v>175</v>
      </c>
      <c r="G13" s="18" t="s">
        <v>174</v>
      </c>
      <c r="H13" s="18" t="s">
        <v>175</v>
      </c>
      <c r="I13" s="18" t="s">
        <v>174</v>
      </c>
      <c r="J13" s="18" t="s">
        <v>175</v>
      </c>
      <c r="K13" s="18" t="s">
        <v>174</v>
      </c>
      <c r="L13" s="18" t="s">
        <v>175</v>
      </c>
      <c r="M13" s="8"/>
    </row>
    <row r="14" spans="1:13" ht="39" customHeight="1" x14ac:dyDescent="0.3">
      <c r="A14" s="19" t="s">
        <v>178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8"/>
    </row>
    <row r="15" spans="1:13" ht="39" customHeight="1" x14ac:dyDescent="0.3">
      <c r="A15" s="20" t="s">
        <v>179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8"/>
    </row>
    <row r="16" spans="1:13" s="11" customFormat="1" ht="39" customHeight="1" x14ac:dyDescent="0.3">
      <c r="A16" s="19" t="s">
        <v>186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3"/>
    </row>
    <row r="17" spans="1:13" s="11" customFormat="1" ht="39" customHeight="1" x14ac:dyDescent="0.3">
      <c r="A17" s="19" t="s">
        <v>187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3"/>
    </row>
    <row r="18" spans="1:13" ht="39" customHeight="1" x14ac:dyDescent="0.3"/>
  </sheetData>
  <mergeCells count="10">
    <mergeCell ref="C4:D4"/>
    <mergeCell ref="E4:F4"/>
    <mergeCell ref="G4:H4"/>
    <mergeCell ref="I4:J4"/>
    <mergeCell ref="K4:L4"/>
    <mergeCell ref="C12:D12"/>
    <mergeCell ref="E12:F12"/>
    <mergeCell ref="G12:H12"/>
    <mergeCell ref="I12:J12"/>
    <mergeCell ref="K12:L12"/>
  </mergeCells>
  <printOptions horizontalCentered="1"/>
  <pageMargins left="0.17" right="0.57999999999999996" top="6.79" bottom="0.15" header="0.3" footer="0.12"/>
  <pageSetup paperSize="10000" scale="64" fitToHeight="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>
    <tabColor theme="7"/>
  </sheetPr>
  <dimension ref="A1:M858"/>
  <sheetViews>
    <sheetView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RowHeight="14.4" x14ac:dyDescent="0.3"/>
  <cols>
    <col min="1" max="1" width="8.88671875" customWidth="1"/>
    <col min="2" max="2" width="13.88671875" customWidth="1"/>
    <col min="3" max="3" width="48.88671875" customWidth="1"/>
    <col min="4" max="4" width="25.6640625" customWidth="1"/>
    <col min="5" max="5" width="33" customWidth="1"/>
    <col min="6" max="6" width="13.109375" customWidth="1"/>
    <col min="7" max="8" width="33" customWidth="1"/>
    <col min="9" max="9" width="7.5546875" customWidth="1"/>
    <col min="10" max="10" width="7" customWidth="1"/>
    <col min="11" max="11" width="28.6640625" style="23" bestFit="1" customWidth="1"/>
    <col min="12" max="12" width="12" customWidth="1"/>
    <col min="13" max="13" width="8.88671875" customWidth="1"/>
  </cols>
  <sheetData>
    <row r="1" spans="1:13" s="9" customFormat="1" ht="21.6" x14ac:dyDescent="0.3">
      <c r="A1" s="5" t="s">
        <v>131</v>
      </c>
      <c r="B1" s="5" t="s">
        <v>132</v>
      </c>
      <c r="C1" s="6" t="s">
        <v>139</v>
      </c>
      <c r="D1" s="30" t="s">
        <v>133</v>
      </c>
      <c r="E1" s="30" t="s">
        <v>134</v>
      </c>
      <c r="F1" s="7" t="s">
        <v>135</v>
      </c>
      <c r="G1" s="7" t="s">
        <v>138</v>
      </c>
      <c r="H1" s="31" t="s">
        <v>136</v>
      </c>
      <c r="I1" s="33" t="s">
        <v>137</v>
      </c>
      <c r="J1" s="32" t="s">
        <v>185</v>
      </c>
      <c r="K1" s="34" t="s">
        <v>140</v>
      </c>
      <c r="L1" s="5" t="s">
        <v>155</v>
      </c>
      <c r="M1" s="5" t="s">
        <v>131</v>
      </c>
    </row>
    <row r="2" spans="1:13" x14ac:dyDescent="0.3">
      <c r="A2" s="64">
        <v>2020010</v>
      </c>
      <c r="B2" s="24" t="s">
        <v>380</v>
      </c>
      <c r="C2" s="1" t="s">
        <v>2216</v>
      </c>
      <c r="D2" s="10" t="s">
        <v>1333</v>
      </c>
      <c r="E2" s="10" t="s">
        <v>1334</v>
      </c>
      <c r="F2" s="10">
        <v>4534980</v>
      </c>
      <c r="G2" s="10" t="s">
        <v>1335</v>
      </c>
      <c r="H2" s="27" t="s">
        <v>715</v>
      </c>
      <c r="I2" s="10">
        <v>839</v>
      </c>
      <c r="J2" s="10">
        <v>371</v>
      </c>
      <c r="K2" s="22"/>
      <c r="L2" s="24" t="s">
        <v>156</v>
      </c>
      <c r="M2" s="236">
        <f>A2</f>
        <v>2020010</v>
      </c>
    </row>
    <row r="3" spans="1:13" x14ac:dyDescent="0.3">
      <c r="A3" s="2">
        <v>2018053</v>
      </c>
      <c r="B3" s="24" t="s">
        <v>1340</v>
      </c>
      <c r="C3" s="1" t="s">
        <v>578</v>
      </c>
      <c r="D3" s="10" t="s">
        <v>579</v>
      </c>
      <c r="E3" s="27" t="s">
        <v>715</v>
      </c>
      <c r="F3" s="27" t="s">
        <v>715</v>
      </c>
      <c r="G3" s="10" t="s">
        <v>580</v>
      </c>
      <c r="H3" s="10">
        <v>2</v>
      </c>
      <c r="I3" s="27" t="s">
        <v>715</v>
      </c>
      <c r="J3" s="27" t="s">
        <v>715</v>
      </c>
      <c r="K3" s="21">
        <v>43482</v>
      </c>
      <c r="L3" s="24" t="s">
        <v>568</v>
      </c>
      <c r="M3" s="236">
        <f t="shared" ref="M3:M66" si="0">A3</f>
        <v>2018053</v>
      </c>
    </row>
    <row r="4" spans="1:13" x14ac:dyDescent="0.3">
      <c r="A4" s="2">
        <v>2018322</v>
      </c>
      <c r="B4" s="24" t="s">
        <v>130</v>
      </c>
      <c r="C4" s="1" t="s">
        <v>126</v>
      </c>
      <c r="D4" s="10" t="s">
        <v>702</v>
      </c>
      <c r="E4" s="10" t="s">
        <v>252</v>
      </c>
      <c r="F4" s="10">
        <v>3622159</v>
      </c>
      <c r="G4" s="10" t="s">
        <v>703</v>
      </c>
      <c r="H4" s="10"/>
      <c r="I4" s="10">
        <v>807</v>
      </c>
      <c r="J4" s="10">
        <v>598</v>
      </c>
      <c r="K4" s="21">
        <v>43483</v>
      </c>
      <c r="L4" s="24" t="s">
        <v>157</v>
      </c>
      <c r="M4" s="236">
        <f t="shared" si="0"/>
        <v>2018322</v>
      </c>
    </row>
    <row r="5" spans="1:13" x14ac:dyDescent="0.3">
      <c r="A5" s="64">
        <v>2018208</v>
      </c>
      <c r="B5" s="24" t="s">
        <v>1823</v>
      </c>
      <c r="C5" s="1" t="s">
        <v>79</v>
      </c>
      <c r="D5" s="10" t="s">
        <v>776</v>
      </c>
      <c r="E5" s="27" t="s">
        <v>715</v>
      </c>
      <c r="F5" s="27" t="s">
        <v>715</v>
      </c>
      <c r="G5" s="10" t="s">
        <v>777</v>
      </c>
      <c r="H5" s="27" t="s">
        <v>715</v>
      </c>
      <c r="I5" s="10">
        <v>823</v>
      </c>
      <c r="J5" s="10">
        <v>610</v>
      </c>
      <c r="K5" s="21"/>
      <c r="L5" s="24" t="s">
        <v>157</v>
      </c>
      <c r="M5" s="236">
        <f t="shared" si="0"/>
        <v>2018208</v>
      </c>
    </row>
    <row r="6" spans="1:13" x14ac:dyDescent="0.3">
      <c r="A6" s="2">
        <v>2020020</v>
      </c>
      <c r="B6" s="24" t="s">
        <v>201</v>
      </c>
      <c r="C6" s="1" t="s">
        <v>1395</v>
      </c>
      <c r="D6" s="10" t="s">
        <v>1396</v>
      </c>
      <c r="E6" s="10" t="s">
        <v>1397</v>
      </c>
      <c r="F6" s="10">
        <v>3615014</v>
      </c>
      <c r="G6" s="10" t="s">
        <v>1398</v>
      </c>
      <c r="H6" s="27" t="s">
        <v>715</v>
      </c>
      <c r="I6" s="10">
        <v>839</v>
      </c>
      <c r="J6" s="10">
        <v>371</v>
      </c>
      <c r="K6" s="22"/>
      <c r="L6" s="24" t="s">
        <v>211</v>
      </c>
      <c r="M6" s="236">
        <f t="shared" si="0"/>
        <v>2020020</v>
      </c>
    </row>
    <row r="7" spans="1:13" x14ac:dyDescent="0.3">
      <c r="A7" s="64">
        <v>2018079</v>
      </c>
      <c r="B7" s="24" t="s">
        <v>492</v>
      </c>
      <c r="C7" s="1" t="s">
        <v>381</v>
      </c>
      <c r="D7" s="10" t="s">
        <v>346</v>
      </c>
      <c r="E7" s="10" t="s">
        <v>1683</v>
      </c>
      <c r="F7" s="10">
        <v>4044384</v>
      </c>
      <c r="G7" s="10" t="s">
        <v>382</v>
      </c>
      <c r="H7" s="10"/>
      <c r="I7" s="10">
        <v>823</v>
      </c>
      <c r="J7" s="10">
        <v>364</v>
      </c>
      <c r="K7" s="21">
        <v>43480</v>
      </c>
      <c r="L7" s="24" t="s">
        <v>156</v>
      </c>
      <c r="M7" s="236">
        <f t="shared" si="0"/>
        <v>2018079</v>
      </c>
    </row>
    <row r="8" spans="1:13" x14ac:dyDescent="0.3">
      <c r="A8" s="2">
        <v>2018027</v>
      </c>
      <c r="B8" s="24" t="s">
        <v>43</v>
      </c>
      <c r="C8" s="1" t="s">
        <v>12</v>
      </c>
      <c r="D8" s="10" t="s">
        <v>842</v>
      </c>
      <c r="E8" s="10" t="s">
        <v>843</v>
      </c>
      <c r="F8" s="10">
        <v>2878695</v>
      </c>
      <c r="G8" s="10" t="s">
        <v>844</v>
      </c>
      <c r="H8" s="27" t="s">
        <v>715</v>
      </c>
      <c r="I8" s="10">
        <v>807</v>
      </c>
      <c r="J8" s="10">
        <v>357</v>
      </c>
      <c r="K8" s="21">
        <v>43483</v>
      </c>
      <c r="L8" s="24" t="s">
        <v>156</v>
      </c>
      <c r="M8" s="236">
        <f t="shared" si="0"/>
        <v>2018027</v>
      </c>
    </row>
    <row r="9" spans="1:13" x14ac:dyDescent="0.3">
      <c r="A9" s="64">
        <v>2018409</v>
      </c>
      <c r="B9" s="24" t="s">
        <v>1762</v>
      </c>
      <c r="C9" s="1" t="s">
        <v>834</v>
      </c>
      <c r="D9" s="10" t="s">
        <v>835</v>
      </c>
      <c r="E9" s="27" t="s">
        <v>1775</v>
      </c>
      <c r="F9" s="27">
        <v>3036522</v>
      </c>
      <c r="G9" s="10" t="s">
        <v>1776</v>
      </c>
      <c r="H9" s="27" t="s">
        <v>715</v>
      </c>
      <c r="I9" s="27">
        <v>823</v>
      </c>
      <c r="J9" s="27">
        <v>364</v>
      </c>
      <c r="K9" s="21"/>
      <c r="L9" s="24" t="s">
        <v>211</v>
      </c>
      <c r="M9" s="236">
        <f t="shared" si="0"/>
        <v>2018409</v>
      </c>
    </row>
    <row r="10" spans="1:13" x14ac:dyDescent="0.3">
      <c r="A10" s="2">
        <v>2018444</v>
      </c>
      <c r="B10" s="24" t="s">
        <v>1028</v>
      </c>
      <c r="C10" s="1" t="s">
        <v>1091</v>
      </c>
      <c r="D10" s="10" t="s">
        <v>1092</v>
      </c>
      <c r="E10" s="10" t="s">
        <v>1093</v>
      </c>
      <c r="F10" s="10">
        <v>6482564</v>
      </c>
      <c r="G10" s="10" t="s">
        <v>1094</v>
      </c>
      <c r="H10" s="27" t="s">
        <v>715</v>
      </c>
      <c r="I10" s="10">
        <v>807</v>
      </c>
      <c r="J10" s="10">
        <v>357</v>
      </c>
      <c r="K10" s="21">
        <v>43483</v>
      </c>
      <c r="L10" s="24" t="s">
        <v>211</v>
      </c>
      <c r="M10" s="236">
        <f t="shared" si="0"/>
        <v>2018444</v>
      </c>
    </row>
    <row r="11" spans="1:13" x14ac:dyDescent="0.3">
      <c r="A11" s="2">
        <v>2018054</v>
      </c>
      <c r="B11" s="24" t="s">
        <v>53</v>
      </c>
      <c r="C11" s="1" t="s">
        <v>29</v>
      </c>
      <c r="D11" s="10" t="s">
        <v>289</v>
      </c>
      <c r="E11" s="10"/>
      <c r="F11" s="10"/>
      <c r="G11" s="10"/>
      <c r="H11" s="10"/>
      <c r="I11" s="10"/>
      <c r="J11" s="10"/>
      <c r="K11" s="21"/>
      <c r="L11" s="24" t="s">
        <v>156</v>
      </c>
      <c r="M11" s="236">
        <f t="shared" si="0"/>
        <v>2018054</v>
      </c>
    </row>
    <row r="12" spans="1:13" x14ac:dyDescent="0.3">
      <c r="A12" s="2">
        <v>2018396</v>
      </c>
      <c r="B12" s="24" t="s">
        <v>454</v>
      </c>
      <c r="C12" s="1" t="s">
        <v>728</v>
      </c>
      <c r="D12" s="10" t="s">
        <v>729</v>
      </c>
      <c r="E12" s="10" t="s">
        <v>730</v>
      </c>
      <c r="F12" s="10">
        <v>4185892</v>
      </c>
      <c r="G12" s="10" t="s">
        <v>731</v>
      </c>
      <c r="H12" s="10"/>
      <c r="I12" s="10">
        <v>823</v>
      </c>
      <c r="J12" s="10">
        <v>364</v>
      </c>
      <c r="K12" s="21">
        <v>43483</v>
      </c>
      <c r="L12" s="24" t="s">
        <v>156</v>
      </c>
      <c r="M12" s="236">
        <f t="shared" si="0"/>
        <v>2018396</v>
      </c>
    </row>
    <row r="13" spans="1:13" x14ac:dyDescent="0.3">
      <c r="A13" s="64">
        <v>2018080</v>
      </c>
      <c r="B13" s="24" t="s">
        <v>1909</v>
      </c>
      <c r="C13" s="1" t="s">
        <v>857</v>
      </c>
      <c r="D13" s="10" t="s">
        <v>858</v>
      </c>
      <c r="E13" s="10" t="s">
        <v>1363</v>
      </c>
      <c r="F13" s="10">
        <v>823629</v>
      </c>
      <c r="G13" s="10" t="s">
        <v>859</v>
      </c>
      <c r="H13" s="10">
        <v>2</v>
      </c>
      <c r="I13" s="10">
        <v>1646</v>
      </c>
      <c r="J13" s="10">
        <v>974</v>
      </c>
      <c r="K13" s="21"/>
      <c r="L13" s="24" t="s">
        <v>280</v>
      </c>
      <c r="M13" s="236">
        <f t="shared" si="0"/>
        <v>2018080</v>
      </c>
    </row>
    <row r="14" spans="1:13" x14ac:dyDescent="0.3">
      <c r="A14" s="64">
        <v>2018149</v>
      </c>
      <c r="B14" s="24" t="s">
        <v>1330</v>
      </c>
      <c r="C14" s="1" t="s">
        <v>193</v>
      </c>
      <c r="D14" s="10" t="s">
        <v>194</v>
      </c>
      <c r="E14" s="27" t="s">
        <v>715</v>
      </c>
      <c r="F14" s="27" t="s">
        <v>715</v>
      </c>
      <c r="G14" s="10" t="s">
        <v>721</v>
      </c>
      <c r="H14" s="10">
        <v>3</v>
      </c>
      <c r="I14" s="27" t="s">
        <v>715</v>
      </c>
      <c r="J14" s="27" t="s">
        <v>715</v>
      </c>
      <c r="K14" s="21">
        <v>43483</v>
      </c>
      <c r="L14" s="24" t="s">
        <v>707</v>
      </c>
      <c r="M14" s="236">
        <f t="shared" si="0"/>
        <v>2018149</v>
      </c>
    </row>
    <row r="15" spans="1:13" x14ac:dyDescent="0.3">
      <c r="A15" s="2">
        <v>2020070</v>
      </c>
      <c r="B15" s="24" t="s">
        <v>1851</v>
      </c>
      <c r="C15" s="1" t="s">
        <v>1844</v>
      </c>
      <c r="D15" s="10" t="s">
        <v>1845</v>
      </c>
      <c r="E15" s="10"/>
      <c r="F15" s="10"/>
      <c r="G15" s="10" t="s">
        <v>1846</v>
      </c>
      <c r="H15" s="10">
        <v>2</v>
      </c>
      <c r="I15" s="10"/>
      <c r="J15" s="10"/>
      <c r="K15" s="22"/>
      <c r="L15" s="24" t="s">
        <v>157</v>
      </c>
      <c r="M15" s="236">
        <f t="shared" si="0"/>
        <v>2020070</v>
      </c>
    </row>
    <row r="16" spans="1:13" x14ac:dyDescent="0.3">
      <c r="A16" s="2">
        <v>2018150</v>
      </c>
      <c r="B16" s="24" t="s">
        <v>1565</v>
      </c>
      <c r="C16" s="1" t="s">
        <v>531</v>
      </c>
      <c r="D16" s="10" t="s">
        <v>1566</v>
      </c>
      <c r="E16" s="27" t="s">
        <v>715</v>
      </c>
      <c r="F16" s="27" t="s">
        <v>715</v>
      </c>
      <c r="G16" s="10" t="s">
        <v>532</v>
      </c>
      <c r="H16" s="10">
        <v>2</v>
      </c>
      <c r="I16" s="27" t="s">
        <v>715</v>
      </c>
      <c r="J16" s="27" t="s">
        <v>715</v>
      </c>
      <c r="K16" s="21">
        <v>43482</v>
      </c>
      <c r="L16" s="24" t="s">
        <v>280</v>
      </c>
      <c r="M16" s="236">
        <f t="shared" si="0"/>
        <v>2018150</v>
      </c>
    </row>
    <row r="17" spans="1:13" x14ac:dyDescent="0.3">
      <c r="A17" s="2">
        <v>2018350</v>
      </c>
      <c r="B17" s="24" t="s">
        <v>1789</v>
      </c>
      <c r="C17" s="1" t="s">
        <v>314</v>
      </c>
      <c r="D17" s="10" t="s">
        <v>315</v>
      </c>
      <c r="E17" s="10" t="s">
        <v>1790</v>
      </c>
      <c r="F17" s="10">
        <v>771441014</v>
      </c>
      <c r="G17" s="10" t="s">
        <v>316</v>
      </c>
      <c r="H17" s="10"/>
      <c r="I17" s="10">
        <v>1646</v>
      </c>
      <c r="J17" s="10">
        <v>728</v>
      </c>
      <c r="K17" s="21"/>
      <c r="L17" s="24" t="s">
        <v>156</v>
      </c>
      <c r="M17" s="236">
        <f t="shared" si="0"/>
        <v>2018350</v>
      </c>
    </row>
    <row r="18" spans="1:13" x14ac:dyDescent="0.3">
      <c r="A18" s="64">
        <v>2018276</v>
      </c>
      <c r="B18" s="24" t="s">
        <v>116</v>
      </c>
      <c r="C18" s="1" t="s">
        <v>106</v>
      </c>
      <c r="D18" s="10" t="s">
        <v>1090</v>
      </c>
      <c r="E18" s="10" t="s">
        <v>1519</v>
      </c>
      <c r="F18" s="10">
        <v>5153524</v>
      </c>
      <c r="G18" s="10" t="s">
        <v>1520</v>
      </c>
      <c r="H18" s="27" t="s">
        <v>715</v>
      </c>
      <c r="I18" s="10">
        <v>823</v>
      </c>
      <c r="J18" s="10">
        <v>610</v>
      </c>
      <c r="K18" s="21">
        <v>43483</v>
      </c>
      <c r="L18" s="24" t="s">
        <v>157</v>
      </c>
      <c r="M18" s="236">
        <f t="shared" si="0"/>
        <v>2018276</v>
      </c>
    </row>
    <row r="19" spans="1:13" x14ac:dyDescent="0.3">
      <c r="A19" s="2">
        <v>2018244</v>
      </c>
      <c r="B19" s="24" t="s">
        <v>1283</v>
      </c>
      <c r="C19" s="1" t="s">
        <v>93</v>
      </c>
      <c r="D19" s="10" t="s">
        <v>896</v>
      </c>
      <c r="E19" s="10" t="s">
        <v>897</v>
      </c>
      <c r="F19" s="10">
        <v>3361774</v>
      </c>
      <c r="G19" s="10" t="s">
        <v>898</v>
      </c>
      <c r="H19" s="27" t="s">
        <v>715</v>
      </c>
      <c r="I19" s="10">
        <v>839</v>
      </c>
      <c r="J19" s="10">
        <v>371</v>
      </c>
      <c r="K19" s="56" t="s">
        <v>1271</v>
      </c>
      <c r="L19" s="24" t="s">
        <v>157</v>
      </c>
      <c r="M19" s="236">
        <f t="shared" si="0"/>
        <v>2018244</v>
      </c>
    </row>
    <row r="20" spans="1:13" x14ac:dyDescent="0.3">
      <c r="A20" s="2">
        <v>2018305</v>
      </c>
      <c r="B20" s="58" t="s">
        <v>1563</v>
      </c>
      <c r="C20" s="1" t="s">
        <v>725</v>
      </c>
      <c r="D20" s="10" t="s">
        <v>726</v>
      </c>
      <c r="E20" s="27" t="s">
        <v>1564</v>
      </c>
      <c r="F20" s="27">
        <v>3088967</v>
      </c>
      <c r="G20" s="10" t="s">
        <v>727</v>
      </c>
      <c r="H20" s="10">
        <v>2</v>
      </c>
      <c r="I20" s="10">
        <v>1646</v>
      </c>
      <c r="J20" s="10">
        <v>1220</v>
      </c>
      <c r="K20" s="21">
        <v>43483</v>
      </c>
      <c r="L20" s="24" t="s">
        <v>157</v>
      </c>
      <c r="M20" s="236">
        <f t="shared" si="0"/>
        <v>2018305</v>
      </c>
    </row>
    <row r="21" spans="1:13" x14ac:dyDescent="0.3">
      <c r="A21" s="64">
        <v>2020061</v>
      </c>
      <c r="B21" s="24" t="s">
        <v>1781</v>
      </c>
      <c r="C21" s="1" t="s">
        <v>1782</v>
      </c>
      <c r="D21" s="10" t="s">
        <v>1783</v>
      </c>
      <c r="E21" s="10" t="s">
        <v>1784</v>
      </c>
      <c r="F21" s="10">
        <v>3120919</v>
      </c>
      <c r="G21" s="10" t="s">
        <v>1785</v>
      </c>
      <c r="H21" s="10">
        <v>0</v>
      </c>
      <c r="I21" s="10">
        <v>823</v>
      </c>
      <c r="J21" s="10">
        <v>610</v>
      </c>
      <c r="K21" s="22"/>
      <c r="L21" s="24" t="s">
        <v>157</v>
      </c>
      <c r="M21" s="236">
        <f t="shared" si="0"/>
        <v>2020061</v>
      </c>
    </row>
    <row r="22" spans="1:13" x14ac:dyDescent="0.3">
      <c r="A22" s="2">
        <v>2018391</v>
      </c>
      <c r="B22" s="24" t="s">
        <v>1712</v>
      </c>
      <c r="C22" s="1" t="s">
        <v>630</v>
      </c>
      <c r="D22" s="10" t="s">
        <v>631</v>
      </c>
      <c r="E22" s="10" t="s">
        <v>632</v>
      </c>
      <c r="F22" s="10">
        <v>1070861</v>
      </c>
      <c r="G22" s="10" t="s">
        <v>1713</v>
      </c>
      <c r="H22" s="10">
        <v>2</v>
      </c>
      <c r="I22" s="10">
        <v>1646</v>
      </c>
      <c r="J22" s="10">
        <v>728</v>
      </c>
      <c r="K22" s="21">
        <v>43482</v>
      </c>
      <c r="L22" s="24" t="s">
        <v>156</v>
      </c>
      <c r="M22" s="236">
        <f t="shared" si="0"/>
        <v>2018391</v>
      </c>
    </row>
    <row r="23" spans="1:13" x14ac:dyDescent="0.3">
      <c r="A23" s="2">
        <v>2020059</v>
      </c>
      <c r="B23" s="24" t="s">
        <v>1770</v>
      </c>
      <c r="C23" s="1" t="s">
        <v>1771</v>
      </c>
      <c r="D23" s="10" t="s">
        <v>1772</v>
      </c>
      <c r="E23" s="10" t="s">
        <v>1773</v>
      </c>
      <c r="F23" s="10">
        <v>3148343013</v>
      </c>
      <c r="G23" s="10" t="s">
        <v>1774</v>
      </c>
      <c r="H23" s="10">
        <v>0</v>
      </c>
      <c r="I23" s="10">
        <v>823</v>
      </c>
      <c r="J23" s="10">
        <v>364</v>
      </c>
      <c r="K23" s="22"/>
      <c r="L23" s="24" t="s">
        <v>156</v>
      </c>
      <c r="M23" s="236">
        <f t="shared" si="0"/>
        <v>2020059</v>
      </c>
    </row>
    <row r="24" spans="1:13" x14ac:dyDescent="0.3">
      <c r="A24" s="2">
        <v>2018055</v>
      </c>
      <c r="B24" s="24" t="s">
        <v>890</v>
      </c>
      <c r="C24" s="1" t="s">
        <v>1443</v>
      </c>
      <c r="D24" s="10" t="s">
        <v>1444</v>
      </c>
      <c r="E24" s="10" t="s">
        <v>1445</v>
      </c>
      <c r="F24" s="10">
        <v>3817777</v>
      </c>
      <c r="G24" s="10" t="s">
        <v>1446</v>
      </c>
      <c r="H24" s="10">
        <v>2</v>
      </c>
      <c r="I24" s="10" t="s">
        <v>1447</v>
      </c>
      <c r="J24" s="10" t="s">
        <v>1448</v>
      </c>
      <c r="K24" s="21">
        <v>43483</v>
      </c>
      <c r="L24" s="24" t="s">
        <v>156</v>
      </c>
      <c r="M24" s="236">
        <f t="shared" si="0"/>
        <v>2018055</v>
      </c>
    </row>
    <row r="25" spans="1:13" x14ac:dyDescent="0.3">
      <c r="A25" s="2">
        <v>2020086</v>
      </c>
      <c r="B25" s="24" t="s">
        <v>1159</v>
      </c>
      <c r="C25" s="1" t="s">
        <v>1930</v>
      </c>
      <c r="D25" s="27" t="s">
        <v>715</v>
      </c>
      <c r="E25" s="27" t="s">
        <v>715</v>
      </c>
      <c r="F25" s="27" t="s">
        <v>715</v>
      </c>
      <c r="G25" s="27" t="s">
        <v>715</v>
      </c>
      <c r="H25" s="27" t="s">
        <v>715</v>
      </c>
      <c r="I25" s="27" t="s">
        <v>715</v>
      </c>
      <c r="J25" s="27" t="s">
        <v>715</v>
      </c>
      <c r="K25" s="60" t="s">
        <v>715</v>
      </c>
      <c r="L25" s="24" t="s">
        <v>156</v>
      </c>
      <c r="M25" s="236">
        <f t="shared" si="0"/>
        <v>2020086</v>
      </c>
    </row>
    <row r="26" spans="1:13" x14ac:dyDescent="0.3">
      <c r="A26" s="2">
        <v>2018223</v>
      </c>
      <c r="B26" s="58" t="s">
        <v>1295</v>
      </c>
      <c r="C26" s="1" t="s">
        <v>86</v>
      </c>
      <c r="D26" s="10" t="s">
        <v>1011</v>
      </c>
      <c r="E26" s="27" t="s">
        <v>715</v>
      </c>
      <c r="F26" s="27" t="s">
        <v>715</v>
      </c>
      <c r="G26" s="10" t="s">
        <v>1012</v>
      </c>
      <c r="H26" s="27" t="s">
        <v>715</v>
      </c>
      <c r="I26" s="10">
        <v>1646</v>
      </c>
      <c r="J26" s="10">
        <v>974</v>
      </c>
      <c r="K26" s="21"/>
      <c r="L26" s="24" t="s">
        <v>1135</v>
      </c>
      <c r="M26" s="236">
        <f t="shared" si="0"/>
        <v>2018223</v>
      </c>
    </row>
    <row r="27" spans="1:13" x14ac:dyDescent="0.3">
      <c r="A27" s="2">
        <v>2018190</v>
      </c>
      <c r="B27" s="24" t="s">
        <v>1307</v>
      </c>
      <c r="C27" s="1" t="s">
        <v>76</v>
      </c>
      <c r="D27" s="10" t="s">
        <v>206</v>
      </c>
      <c r="E27" s="10" t="s">
        <v>207</v>
      </c>
      <c r="F27" s="10">
        <v>3143281</v>
      </c>
      <c r="G27" s="10" t="s">
        <v>208</v>
      </c>
      <c r="H27" s="27" t="s">
        <v>715</v>
      </c>
      <c r="I27" s="10">
        <v>839</v>
      </c>
      <c r="J27" s="10">
        <v>622</v>
      </c>
      <c r="K27" s="21">
        <v>43479</v>
      </c>
      <c r="L27" s="24" t="s">
        <v>157</v>
      </c>
      <c r="M27" s="236">
        <f t="shared" si="0"/>
        <v>2018190</v>
      </c>
    </row>
    <row r="28" spans="1:13" x14ac:dyDescent="0.3">
      <c r="A28" s="2">
        <v>2018245</v>
      </c>
      <c r="B28" s="24" t="s">
        <v>1295</v>
      </c>
      <c r="C28" s="1" t="s">
        <v>94</v>
      </c>
      <c r="D28" s="10" t="s">
        <v>963</v>
      </c>
      <c r="E28" s="10" t="s">
        <v>964</v>
      </c>
      <c r="F28" s="10">
        <v>949885</v>
      </c>
      <c r="G28" s="10" t="s">
        <v>965</v>
      </c>
      <c r="H28" s="27" t="s">
        <v>715</v>
      </c>
      <c r="I28" s="10">
        <v>839</v>
      </c>
      <c r="J28" s="10">
        <v>622</v>
      </c>
      <c r="K28" s="21">
        <v>43483</v>
      </c>
      <c r="L28" s="24" t="s">
        <v>157</v>
      </c>
      <c r="M28" s="236">
        <f t="shared" si="0"/>
        <v>2018245</v>
      </c>
    </row>
    <row r="29" spans="1:13" x14ac:dyDescent="0.3">
      <c r="A29" s="2">
        <v>2018306</v>
      </c>
      <c r="B29" s="24" t="s">
        <v>130</v>
      </c>
      <c r="C29" s="1" t="s">
        <v>1704</v>
      </c>
      <c r="D29" s="10" t="s">
        <v>1705</v>
      </c>
      <c r="E29" s="27" t="s">
        <v>1706</v>
      </c>
      <c r="F29" s="27">
        <v>3614256010</v>
      </c>
      <c r="G29" s="10" t="s">
        <v>1013</v>
      </c>
      <c r="H29" s="27" t="s">
        <v>715</v>
      </c>
      <c r="I29" s="10">
        <v>823</v>
      </c>
      <c r="J29" s="10">
        <v>610</v>
      </c>
      <c r="K29" s="21">
        <v>43483</v>
      </c>
      <c r="L29" s="24" t="s">
        <v>157</v>
      </c>
      <c r="M29" s="236">
        <f t="shared" si="0"/>
        <v>2018306</v>
      </c>
    </row>
    <row r="30" spans="1:13" x14ac:dyDescent="0.3">
      <c r="A30" s="64">
        <v>2020075</v>
      </c>
      <c r="B30" s="24" t="s">
        <v>1872</v>
      </c>
      <c r="C30" s="1" t="s">
        <v>1873</v>
      </c>
      <c r="D30" s="10" t="s">
        <v>1874</v>
      </c>
      <c r="E30" s="10" t="s">
        <v>748</v>
      </c>
      <c r="F30" s="10" t="s">
        <v>748</v>
      </c>
      <c r="G30" s="10" t="s">
        <v>1875</v>
      </c>
      <c r="H30" s="10">
        <v>0</v>
      </c>
      <c r="I30" s="10">
        <v>823</v>
      </c>
      <c r="J30" s="10">
        <v>364</v>
      </c>
      <c r="K30" s="22"/>
      <c r="L30" s="24" t="s">
        <v>156</v>
      </c>
      <c r="M30" s="236">
        <f t="shared" si="0"/>
        <v>2020075</v>
      </c>
    </row>
    <row r="31" spans="1:13" x14ac:dyDescent="0.3">
      <c r="A31" s="2">
        <v>2018209</v>
      </c>
      <c r="B31" s="24" t="s">
        <v>488</v>
      </c>
      <c r="C31" s="1" t="s">
        <v>651</v>
      </c>
      <c r="D31" s="10" t="s">
        <v>652</v>
      </c>
      <c r="E31" s="10" t="s">
        <v>252</v>
      </c>
      <c r="F31" s="10" t="s">
        <v>252</v>
      </c>
      <c r="G31" s="10" t="s">
        <v>653</v>
      </c>
      <c r="H31" s="10">
        <v>3</v>
      </c>
      <c r="I31" s="10" t="s">
        <v>252</v>
      </c>
      <c r="J31" s="10" t="s">
        <v>252</v>
      </c>
      <c r="K31" s="21">
        <v>43482</v>
      </c>
      <c r="L31" s="24" t="s">
        <v>156</v>
      </c>
      <c r="M31" s="236">
        <f t="shared" si="0"/>
        <v>2018209</v>
      </c>
    </row>
    <row r="32" spans="1:13" x14ac:dyDescent="0.3">
      <c r="A32" s="2">
        <v>2018288</v>
      </c>
      <c r="B32" s="24" t="s">
        <v>125</v>
      </c>
      <c r="C32" s="1" t="s">
        <v>109</v>
      </c>
      <c r="D32" s="10" t="s">
        <v>553</v>
      </c>
      <c r="E32" s="10" t="s">
        <v>554</v>
      </c>
      <c r="F32" s="10">
        <v>3765324</v>
      </c>
      <c r="G32" s="10" t="s">
        <v>555</v>
      </c>
      <c r="H32" s="10"/>
      <c r="I32" s="10">
        <v>823</v>
      </c>
      <c r="J32" s="10">
        <v>610</v>
      </c>
      <c r="K32" s="21">
        <v>43482</v>
      </c>
      <c r="L32" s="24" t="s">
        <v>157</v>
      </c>
      <c r="M32" s="236">
        <f t="shared" si="0"/>
        <v>2018288</v>
      </c>
    </row>
    <row r="33" spans="1:13" x14ac:dyDescent="0.3">
      <c r="A33" s="64">
        <v>2018002</v>
      </c>
      <c r="B33" s="24" t="s">
        <v>317</v>
      </c>
      <c r="C33" s="1" t="s">
        <v>648</v>
      </c>
      <c r="D33" s="10" t="s">
        <v>649</v>
      </c>
      <c r="E33" s="10" t="s">
        <v>1792</v>
      </c>
      <c r="F33" s="10">
        <v>3748118</v>
      </c>
      <c r="G33" s="10" t="s">
        <v>650</v>
      </c>
      <c r="H33" s="12"/>
      <c r="I33" s="10">
        <v>823</v>
      </c>
      <c r="J33" s="10">
        <v>364</v>
      </c>
      <c r="K33" s="21"/>
      <c r="L33" s="24" t="s">
        <v>156</v>
      </c>
      <c r="M33" s="236">
        <f t="shared" si="0"/>
        <v>2018002</v>
      </c>
    </row>
    <row r="34" spans="1:13" x14ac:dyDescent="0.3">
      <c r="A34" s="2">
        <v>2018127</v>
      </c>
      <c r="B34" s="24" t="s">
        <v>982</v>
      </c>
      <c r="C34" s="1" t="s">
        <v>59</v>
      </c>
      <c r="D34" s="10" t="s">
        <v>290</v>
      </c>
      <c r="E34" s="10" t="s">
        <v>944</v>
      </c>
      <c r="F34" s="10">
        <v>3808783013</v>
      </c>
      <c r="G34" s="10" t="s">
        <v>945</v>
      </c>
      <c r="H34" s="27" t="s">
        <v>715</v>
      </c>
      <c r="I34" s="10">
        <v>823</v>
      </c>
      <c r="J34" s="10">
        <v>364</v>
      </c>
      <c r="K34" s="21">
        <v>43481</v>
      </c>
      <c r="L34" s="24" t="s">
        <v>156</v>
      </c>
      <c r="M34" s="236">
        <f t="shared" si="0"/>
        <v>2018127</v>
      </c>
    </row>
    <row r="35" spans="1:13" x14ac:dyDescent="0.3">
      <c r="A35" s="2">
        <v>2018210</v>
      </c>
      <c r="B35" s="24" t="s">
        <v>946</v>
      </c>
      <c r="C35" s="1" t="s">
        <v>80</v>
      </c>
      <c r="D35" s="10" t="s">
        <v>733</v>
      </c>
      <c r="E35" s="27" t="s">
        <v>735</v>
      </c>
      <c r="F35" s="27">
        <v>3390188016</v>
      </c>
      <c r="G35" s="10" t="s">
        <v>734</v>
      </c>
      <c r="H35" s="27" t="s">
        <v>715</v>
      </c>
      <c r="I35" s="10">
        <v>823</v>
      </c>
      <c r="J35" s="10">
        <v>364</v>
      </c>
      <c r="K35" s="21">
        <v>43483</v>
      </c>
      <c r="L35" s="24" t="s">
        <v>157</v>
      </c>
      <c r="M35" s="236">
        <f t="shared" si="0"/>
        <v>2018210</v>
      </c>
    </row>
    <row r="36" spans="1:13" x14ac:dyDescent="0.3">
      <c r="A36" s="2">
        <v>2018028</v>
      </c>
      <c r="B36" s="24" t="s">
        <v>28</v>
      </c>
      <c r="C36" s="1" t="s">
        <v>13</v>
      </c>
      <c r="D36" s="10" t="s">
        <v>1053</v>
      </c>
      <c r="E36" s="10" t="s">
        <v>1054</v>
      </c>
      <c r="F36" s="10">
        <v>4406840</v>
      </c>
      <c r="G36" s="10" t="s">
        <v>1055</v>
      </c>
      <c r="H36" s="27" t="s">
        <v>715</v>
      </c>
      <c r="I36" s="10">
        <v>807</v>
      </c>
      <c r="J36" s="10">
        <v>357</v>
      </c>
      <c r="K36" s="21">
        <v>43483</v>
      </c>
      <c r="L36" s="24" t="s">
        <v>156</v>
      </c>
      <c r="M36" s="236">
        <f t="shared" si="0"/>
        <v>2018028</v>
      </c>
    </row>
    <row r="37" spans="1:13" x14ac:dyDescent="0.3">
      <c r="A37" s="2">
        <v>2018447</v>
      </c>
      <c r="B37" s="24" t="s">
        <v>116</v>
      </c>
      <c r="C37" s="1" t="s">
        <v>1123</v>
      </c>
      <c r="D37" s="10" t="s">
        <v>1124</v>
      </c>
      <c r="E37" s="10" t="s">
        <v>1125</v>
      </c>
      <c r="F37" s="10">
        <v>3753285</v>
      </c>
      <c r="G37" s="10">
        <v>70716204</v>
      </c>
      <c r="H37" s="27" t="s">
        <v>715</v>
      </c>
      <c r="I37" s="27" t="s">
        <v>715</v>
      </c>
      <c r="J37" s="27" t="s">
        <v>715</v>
      </c>
      <c r="K37" s="21">
        <v>43483</v>
      </c>
      <c r="L37" s="24" t="s">
        <v>157</v>
      </c>
      <c r="M37" s="236">
        <f t="shared" si="0"/>
        <v>2018447</v>
      </c>
    </row>
    <row r="38" spans="1:13" x14ac:dyDescent="0.3">
      <c r="A38" s="2">
        <v>2018081</v>
      </c>
      <c r="B38" s="24" t="s">
        <v>1634</v>
      </c>
      <c r="C38" s="1" t="s">
        <v>414</v>
      </c>
      <c r="D38" s="10" t="s">
        <v>415</v>
      </c>
      <c r="E38" s="10" t="s">
        <v>416</v>
      </c>
      <c r="F38" s="10">
        <v>5032188</v>
      </c>
      <c r="G38" s="10" t="s">
        <v>418</v>
      </c>
      <c r="H38" s="10">
        <v>2</v>
      </c>
      <c r="I38" s="27" t="s">
        <v>715</v>
      </c>
      <c r="J38" s="27" t="s">
        <v>715</v>
      </c>
      <c r="K38" s="21">
        <v>43481</v>
      </c>
      <c r="L38" s="24" t="s">
        <v>156</v>
      </c>
      <c r="M38" s="236">
        <f t="shared" si="0"/>
        <v>2018081</v>
      </c>
    </row>
    <row r="39" spans="1:13" x14ac:dyDescent="0.3">
      <c r="A39" s="2">
        <v>2018029</v>
      </c>
      <c r="B39" s="24" t="s">
        <v>317</v>
      </c>
      <c r="C39" s="1" t="s">
        <v>14</v>
      </c>
      <c r="D39" s="10" t="s">
        <v>626</v>
      </c>
      <c r="E39" s="10" t="s">
        <v>1663</v>
      </c>
      <c r="F39" s="10">
        <v>3599727</v>
      </c>
      <c r="G39" s="10" t="s">
        <v>1664</v>
      </c>
      <c r="H39" s="10"/>
      <c r="I39" s="10">
        <v>823</v>
      </c>
      <c r="J39" s="10">
        <v>364</v>
      </c>
      <c r="K39" s="21">
        <v>43482</v>
      </c>
      <c r="L39" s="24" t="s">
        <v>156</v>
      </c>
      <c r="M39" s="236">
        <f t="shared" si="0"/>
        <v>2018029</v>
      </c>
    </row>
    <row r="40" spans="1:13" x14ac:dyDescent="0.3">
      <c r="A40" s="2">
        <v>2020011</v>
      </c>
      <c r="B40" s="24" t="s">
        <v>1337</v>
      </c>
      <c r="C40" s="1" t="s">
        <v>1336</v>
      </c>
      <c r="D40" s="10" t="s">
        <v>1338</v>
      </c>
      <c r="E40" s="27" t="s">
        <v>715</v>
      </c>
      <c r="F40" s="27" t="s">
        <v>715</v>
      </c>
      <c r="G40" s="10" t="s">
        <v>1339</v>
      </c>
      <c r="H40" s="27" t="s">
        <v>715</v>
      </c>
      <c r="I40" s="27" t="s">
        <v>715</v>
      </c>
      <c r="J40" s="27" t="s">
        <v>715</v>
      </c>
      <c r="K40" s="22"/>
      <c r="L40" s="24" t="s">
        <v>157</v>
      </c>
      <c r="M40" s="236">
        <f t="shared" si="0"/>
        <v>2020011</v>
      </c>
    </row>
    <row r="41" spans="1:13" x14ac:dyDescent="0.3">
      <c r="A41" s="2">
        <v>2018367</v>
      </c>
      <c r="B41" s="24" t="s">
        <v>328</v>
      </c>
      <c r="C41" s="1" t="s">
        <v>404</v>
      </c>
      <c r="D41" s="10" t="s">
        <v>948</v>
      </c>
      <c r="E41" s="10" t="s">
        <v>1318</v>
      </c>
      <c r="F41" s="10">
        <v>7892594</v>
      </c>
      <c r="G41" s="10" t="s">
        <v>1319</v>
      </c>
      <c r="H41" s="10"/>
      <c r="I41" s="10">
        <v>839</v>
      </c>
      <c r="J41" s="10">
        <v>371</v>
      </c>
      <c r="K41" s="21">
        <v>43480</v>
      </c>
      <c r="L41" s="24" t="s">
        <v>156</v>
      </c>
      <c r="M41" s="236">
        <f t="shared" si="0"/>
        <v>2018367</v>
      </c>
    </row>
    <row r="42" spans="1:13" x14ac:dyDescent="0.3">
      <c r="A42" s="2">
        <v>2018307</v>
      </c>
      <c r="B42" s="24" t="s">
        <v>130</v>
      </c>
      <c r="C42" s="1" t="s">
        <v>118</v>
      </c>
      <c r="D42" s="10" t="s">
        <v>916</v>
      </c>
      <c r="E42" s="27" t="s">
        <v>715</v>
      </c>
      <c r="F42" s="27" t="s">
        <v>715</v>
      </c>
      <c r="G42" s="10" t="s">
        <v>917</v>
      </c>
      <c r="H42" s="27" t="s">
        <v>715</v>
      </c>
      <c r="I42" s="10">
        <v>823</v>
      </c>
      <c r="J42" s="10">
        <v>410</v>
      </c>
      <c r="K42" s="21"/>
      <c r="L42" s="24" t="s">
        <v>157</v>
      </c>
      <c r="M42" s="236">
        <f t="shared" si="0"/>
        <v>2018307</v>
      </c>
    </row>
    <row r="43" spans="1:13" x14ac:dyDescent="0.3">
      <c r="A43" s="64">
        <v>2020022</v>
      </c>
      <c r="B43" s="24" t="s">
        <v>1409</v>
      </c>
      <c r="C43" s="1" t="s">
        <v>1410</v>
      </c>
      <c r="D43" s="10" t="s">
        <v>1411</v>
      </c>
      <c r="E43" s="10" t="s">
        <v>1412</v>
      </c>
      <c r="F43" s="10">
        <v>5238051</v>
      </c>
      <c r="G43" s="10" t="s">
        <v>1413</v>
      </c>
      <c r="H43" s="10">
        <v>0</v>
      </c>
      <c r="I43" s="10">
        <v>839</v>
      </c>
      <c r="J43" s="10">
        <v>371</v>
      </c>
      <c r="K43" s="22" t="s">
        <v>1271</v>
      </c>
      <c r="L43" s="24" t="s">
        <v>156</v>
      </c>
      <c r="M43" s="236">
        <f t="shared" si="0"/>
        <v>2020022</v>
      </c>
    </row>
    <row r="44" spans="1:13" x14ac:dyDescent="0.3">
      <c r="A44" s="2">
        <v>2018056</v>
      </c>
      <c r="B44" s="24" t="s">
        <v>454</v>
      </c>
      <c r="C44" s="1" t="s">
        <v>30</v>
      </c>
      <c r="D44" s="10" t="s">
        <v>322</v>
      </c>
      <c r="E44" s="10" t="s">
        <v>1636</v>
      </c>
      <c r="F44" s="10">
        <v>171144029</v>
      </c>
      <c r="G44" s="10" t="s">
        <v>323</v>
      </c>
      <c r="H44" s="10"/>
      <c r="I44" s="10">
        <v>823</v>
      </c>
      <c r="J44" s="10">
        <v>364</v>
      </c>
      <c r="K44" s="21">
        <v>43480</v>
      </c>
      <c r="L44" s="24" t="s">
        <v>156</v>
      </c>
      <c r="M44" s="236">
        <f t="shared" si="0"/>
        <v>2018056</v>
      </c>
    </row>
    <row r="45" spans="1:13" x14ac:dyDescent="0.3">
      <c r="A45" s="2">
        <v>2018338</v>
      </c>
      <c r="B45" s="24" t="s">
        <v>1286</v>
      </c>
      <c r="C45" s="1" t="s">
        <v>1285</v>
      </c>
      <c r="D45" s="10" t="s">
        <v>240</v>
      </c>
      <c r="E45" s="27" t="s">
        <v>715</v>
      </c>
      <c r="F45" s="27" t="s">
        <v>715</v>
      </c>
      <c r="G45" s="10" t="s">
        <v>241</v>
      </c>
      <c r="H45" s="27" t="s">
        <v>715</v>
      </c>
      <c r="I45" s="27" t="s">
        <v>715</v>
      </c>
      <c r="J45" s="27" t="s">
        <v>715</v>
      </c>
      <c r="K45" s="21">
        <v>43479</v>
      </c>
      <c r="L45" s="24" t="s">
        <v>375</v>
      </c>
      <c r="M45" s="236">
        <f t="shared" si="0"/>
        <v>2018338</v>
      </c>
    </row>
    <row r="46" spans="1:13" x14ac:dyDescent="0.3">
      <c r="A46" s="2">
        <v>2018173</v>
      </c>
      <c r="B46" s="24" t="s">
        <v>216</v>
      </c>
      <c r="C46" s="1" t="s">
        <v>1308</v>
      </c>
      <c r="D46" s="10" t="s">
        <v>616</v>
      </c>
      <c r="E46" s="10" t="s">
        <v>1309</v>
      </c>
      <c r="F46" s="10">
        <v>3334883</v>
      </c>
      <c r="G46" s="10" t="s">
        <v>617</v>
      </c>
      <c r="H46" s="10">
        <v>2</v>
      </c>
      <c r="I46" s="10">
        <v>839</v>
      </c>
      <c r="J46" s="10">
        <v>371</v>
      </c>
      <c r="K46" s="21">
        <v>43482</v>
      </c>
      <c r="L46" s="24" t="s">
        <v>211</v>
      </c>
      <c r="M46" s="236">
        <f t="shared" si="0"/>
        <v>2018173</v>
      </c>
    </row>
    <row r="47" spans="1:13" x14ac:dyDescent="0.3">
      <c r="A47" s="2">
        <v>2018363</v>
      </c>
      <c r="B47" s="24" t="s">
        <v>328</v>
      </c>
      <c r="C47" s="1" t="s">
        <v>377</v>
      </c>
      <c r="D47" s="10" t="s">
        <v>378</v>
      </c>
      <c r="E47" s="10" t="s">
        <v>1596</v>
      </c>
      <c r="F47" s="10">
        <v>5191508</v>
      </c>
      <c r="G47" s="10" t="s">
        <v>379</v>
      </c>
      <c r="H47" s="27" t="s">
        <v>715</v>
      </c>
      <c r="I47" s="10">
        <v>823</v>
      </c>
      <c r="J47" s="10">
        <v>364</v>
      </c>
      <c r="K47" s="21">
        <v>43480</v>
      </c>
      <c r="L47" s="24" t="s">
        <v>156</v>
      </c>
      <c r="M47" s="236">
        <f t="shared" si="0"/>
        <v>2018363</v>
      </c>
    </row>
    <row r="48" spans="1:13" x14ac:dyDescent="0.3">
      <c r="A48" s="64">
        <v>2018129</v>
      </c>
      <c r="B48" s="24" t="s">
        <v>982</v>
      </c>
      <c r="C48" s="1" t="s">
        <v>60</v>
      </c>
      <c r="D48" s="10" t="s">
        <v>273</v>
      </c>
      <c r="E48" s="10" t="s">
        <v>275</v>
      </c>
      <c r="F48" s="10">
        <v>5152745015</v>
      </c>
      <c r="G48" s="10" t="s">
        <v>274</v>
      </c>
      <c r="H48" s="27" t="s">
        <v>715</v>
      </c>
      <c r="I48" s="27" t="s">
        <v>715</v>
      </c>
      <c r="J48" s="27" t="s">
        <v>715</v>
      </c>
      <c r="K48" s="21">
        <v>43480</v>
      </c>
      <c r="L48" s="24" t="s">
        <v>156</v>
      </c>
      <c r="M48" s="236">
        <f t="shared" si="0"/>
        <v>2018129</v>
      </c>
    </row>
    <row r="49" spans="1:13" x14ac:dyDescent="0.3">
      <c r="A49" s="2">
        <v>2018082</v>
      </c>
      <c r="B49" s="24" t="s">
        <v>1678</v>
      </c>
      <c r="C49" s="1" t="s">
        <v>263</v>
      </c>
      <c r="D49" s="10" t="s">
        <v>261</v>
      </c>
      <c r="E49" s="10" t="s">
        <v>1679</v>
      </c>
      <c r="F49" s="10">
        <v>5185708</v>
      </c>
      <c r="G49" s="10" t="s">
        <v>262</v>
      </c>
      <c r="H49" s="10">
        <v>2</v>
      </c>
      <c r="I49" s="10">
        <v>1646</v>
      </c>
      <c r="J49" s="10">
        <v>728</v>
      </c>
      <c r="K49" s="21">
        <v>43479</v>
      </c>
      <c r="L49" s="24" t="s">
        <v>156</v>
      </c>
      <c r="M49" s="236">
        <f t="shared" si="0"/>
        <v>2018082</v>
      </c>
    </row>
    <row r="50" spans="1:13" x14ac:dyDescent="0.3">
      <c r="A50" s="64">
        <v>2018289</v>
      </c>
      <c r="B50" s="24" t="s">
        <v>125</v>
      </c>
      <c r="C50" s="1" t="s">
        <v>110</v>
      </c>
      <c r="D50" s="10" t="s">
        <v>319</v>
      </c>
      <c r="E50" s="10" t="s">
        <v>1384</v>
      </c>
      <c r="F50" s="10">
        <v>3028010</v>
      </c>
      <c r="G50" s="10" t="s">
        <v>658</v>
      </c>
      <c r="H50" s="10"/>
      <c r="I50" s="10">
        <v>839</v>
      </c>
      <c r="J50" s="10">
        <v>622</v>
      </c>
      <c r="K50" s="21">
        <v>43483</v>
      </c>
      <c r="L50" s="24" t="s">
        <v>157</v>
      </c>
      <c r="M50" s="236">
        <f t="shared" si="0"/>
        <v>2018289</v>
      </c>
    </row>
    <row r="51" spans="1:13" x14ac:dyDescent="0.3">
      <c r="A51" s="64">
        <v>2018412</v>
      </c>
      <c r="B51" s="24" t="s">
        <v>1743</v>
      </c>
      <c r="C51" s="1" t="s">
        <v>1742</v>
      </c>
      <c r="D51" s="10" t="s">
        <v>886</v>
      </c>
      <c r="E51" s="27" t="s">
        <v>715</v>
      </c>
      <c r="F51" s="27" t="s">
        <v>715</v>
      </c>
      <c r="G51" s="10" t="s">
        <v>887</v>
      </c>
      <c r="H51" s="27">
        <v>2</v>
      </c>
      <c r="I51" s="10">
        <v>1646</v>
      </c>
      <c r="J51" s="10">
        <v>728</v>
      </c>
      <c r="K51" s="21"/>
      <c r="L51" s="24" t="s">
        <v>1135</v>
      </c>
      <c r="M51" s="236">
        <f t="shared" si="0"/>
        <v>2018412</v>
      </c>
    </row>
    <row r="52" spans="1:13" x14ac:dyDescent="0.3">
      <c r="A52" s="64">
        <v>2018425</v>
      </c>
      <c r="B52" s="24" t="s">
        <v>989</v>
      </c>
      <c r="C52" s="1" t="s">
        <v>1024</v>
      </c>
      <c r="D52" s="10" t="s">
        <v>1025</v>
      </c>
      <c r="E52" s="10" t="s">
        <v>1026</v>
      </c>
      <c r="F52" s="10">
        <v>959483</v>
      </c>
      <c r="G52" s="10" t="s">
        <v>1027</v>
      </c>
      <c r="H52" s="27" t="s">
        <v>715</v>
      </c>
      <c r="I52" s="10">
        <v>823</v>
      </c>
      <c r="J52" s="10">
        <v>364</v>
      </c>
      <c r="K52" s="22"/>
      <c r="L52" s="24" t="s">
        <v>211</v>
      </c>
      <c r="M52" s="236">
        <f t="shared" si="0"/>
        <v>2018425</v>
      </c>
    </row>
    <row r="53" spans="1:13" x14ac:dyDescent="0.3">
      <c r="A53" s="2">
        <v>2018225</v>
      </c>
      <c r="B53" s="24" t="s">
        <v>545</v>
      </c>
      <c r="C53" s="1" t="s">
        <v>814</v>
      </c>
      <c r="D53" s="10" t="s">
        <v>815</v>
      </c>
      <c r="E53" s="27" t="s">
        <v>715</v>
      </c>
      <c r="F53" s="27" t="s">
        <v>715</v>
      </c>
      <c r="G53" s="10" t="s">
        <v>816</v>
      </c>
      <c r="H53" s="10">
        <v>2</v>
      </c>
      <c r="I53" s="10" t="s">
        <v>279</v>
      </c>
      <c r="J53" s="10">
        <v>955</v>
      </c>
      <c r="K53" s="21"/>
      <c r="L53" s="24" t="s">
        <v>280</v>
      </c>
      <c r="M53" s="236">
        <f t="shared" si="0"/>
        <v>2018225</v>
      </c>
    </row>
    <row r="54" spans="1:13" x14ac:dyDescent="0.3">
      <c r="A54" s="2">
        <v>2018030</v>
      </c>
      <c r="B54" s="24" t="s">
        <v>43</v>
      </c>
      <c r="C54" s="1" t="s">
        <v>15</v>
      </c>
      <c r="D54" s="10" t="s">
        <v>789</v>
      </c>
      <c r="E54" s="27" t="s">
        <v>715</v>
      </c>
      <c r="F54" s="27" t="s">
        <v>715</v>
      </c>
      <c r="G54" s="10" t="s">
        <v>790</v>
      </c>
      <c r="H54" s="10"/>
      <c r="I54" s="10">
        <v>807</v>
      </c>
      <c r="J54" s="10">
        <v>357</v>
      </c>
      <c r="K54" s="21">
        <v>43483</v>
      </c>
      <c r="L54" s="24" t="s">
        <v>156</v>
      </c>
      <c r="M54" s="236">
        <f t="shared" si="0"/>
        <v>2018030</v>
      </c>
    </row>
    <row r="55" spans="1:13" x14ac:dyDescent="0.3">
      <c r="A55" s="24">
        <v>2018336</v>
      </c>
      <c r="B55" s="62" t="s">
        <v>1755</v>
      </c>
      <c r="C55" s="1" t="s">
        <v>1754</v>
      </c>
      <c r="D55" s="36" t="s">
        <v>228</v>
      </c>
      <c r="E55" s="10"/>
      <c r="F55" s="10"/>
      <c r="G55" s="10" t="s">
        <v>229</v>
      </c>
      <c r="H55" s="10"/>
      <c r="I55" s="10">
        <v>1646</v>
      </c>
      <c r="J55" s="10">
        <v>1936</v>
      </c>
      <c r="K55" s="21"/>
      <c r="L55" s="24" t="s">
        <v>157</v>
      </c>
      <c r="M55" s="236">
        <f t="shared" si="0"/>
        <v>2018336</v>
      </c>
    </row>
    <row r="56" spans="1:13" x14ac:dyDescent="0.3">
      <c r="A56" s="2">
        <v>2018410</v>
      </c>
      <c r="B56" s="24" t="s">
        <v>125</v>
      </c>
      <c r="C56" s="1" t="s">
        <v>869</v>
      </c>
      <c r="D56" s="10" t="s">
        <v>870</v>
      </c>
      <c r="E56" s="27" t="s">
        <v>1628</v>
      </c>
      <c r="F56" s="27">
        <v>3592051</v>
      </c>
      <c r="G56" s="10" t="s">
        <v>871</v>
      </c>
      <c r="H56" s="27" t="s">
        <v>715</v>
      </c>
      <c r="I56" s="10">
        <v>839</v>
      </c>
      <c r="J56" s="10">
        <v>610</v>
      </c>
      <c r="K56" s="21"/>
      <c r="L56" s="24" t="s">
        <v>157</v>
      </c>
      <c r="M56" s="236">
        <f t="shared" si="0"/>
        <v>2018410</v>
      </c>
    </row>
    <row r="57" spans="1:13" x14ac:dyDescent="0.3">
      <c r="A57" s="2">
        <v>2018083</v>
      </c>
      <c r="B57" s="24" t="s">
        <v>454</v>
      </c>
      <c r="C57" s="1" t="s">
        <v>44</v>
      </c>
      <c r="D57" s="10" t="s">
        <v>264</v>
      </c>
      <c r="E57" s="10" t="s">
        <v>265</v>
      </c>
      <c r="F57" s="10">
        <v>4995721</v>
      </c>
      <c r="G57" s="10" t="s">
        <v>266</v>
      </c>
      <c r="H57" s="10"/>
      <c r="I57" s="10">
        <v>839</v>
      </c>
      <c r="J57" s="10">
        <v>371</v>
      </c>
      <c r="K57" s="21">
        <v>43480</v>
      </c>
      <c r="L57" s="24" t="s">
        <v>156</v>
      </c>
      <c r="M57" s="236">
        <f t="shared" si="0"/>
        <v>2018083</v>
      </c>
    </row>
    <row r="58" spans="1:13" x14ac:dyDescent="0.3">
      <c r="A58" s="2">
        <v>2018389</v>
      </c>
      <c r="B58" s="24" t="s">
        <v>340</v>
      </c>
      <c r="C58" s="1" t="s">
        <v>612</v>
      </c>
      <c r="D58" s="10" t="s">
        <v>613</v>
      </c>
      <c r="E58" s="10" t="s">
        <v>614</v>
      </c>
      <c r="F58" s="10">
        <v>4325132010</v>
      </c>
      <c r="G58" s="10" t="s">
        <v>615</v>
      </c>
      <c r="H58" s="10"/>
      <c r="I58" s="10">
        <v>823</v>
      </c>
      <c r="J58" s="10">
        <v>364</v>
      </c>
      <c r="K58" s="21">
        <v>43482</v>
      </c>
      <c r="L58" s="24" t="s">
        <v>156</v>
      </c>
      <c r="M58" s="236">
        <f t="shared" si="0"/>
        <v>2018389</v>
      </c>
    </row>
    <row r="59" spans="1:13" x14ac:dyDescent="0.3">
      <c r="A59" s="2">
        <v>2018084</v>
      </c>
      <c r="B59" s="24" t="s">
        <v>58</v>
      </c>
      <c r="C59" s="1" t="s">
        <v>45</v>
      </c>
      <c r="D59" s="10"/>
      <c r="E59" s="10"/>
      <c r="F59" s="10"/>
      <c r="G59" s="10"/>
      <c r="H59" s="10"/>
      <c r="I59" s="10"/>
      <c r="J59" s="10"/>
      <c r="K59" s="21"/>
      <c r="L59" s="24" t="s">
        <v>156</v>
      </c>
      <c r="M59" s="236">
        <f t="shared" si="0"/>
        <v>2018084</v>
      </c>
    </row>
    <row r="60" spans="1:13" x14ac:dyDescent="0.3">
      <c r="A60" s="2">
        <v>2018415</v>
      </c>
      <c r="B60" s="24" t="s">
        <v>340</v>
      </c>
      <c r="C60" s="1" t="s">
        <v>929</v>
      </c>
      <c r="D60" s="10" t="s">
        <v>918</v>
      </c>
      <c r="E60" s="27" t="s">
        <v>715</v>
      </c>
      <c r="F60" s="27" t="s">
        <v>715</v>
      </c>
      <c r="G60" s="10" t="s">
        <v>919</v>
      </c>
      <c r="H60" s="27" t="s">
        <v>715</v>
      </c>
      <c r="I60" s="10">
        <v>807</v>
      </c>
      <c r="J60" s="10">
        <v>357</v>
      </c>
      <c r="K60" s="21">
        <v>43483</v>
      </c>
      <c r="L60" s="24" t="s">
        <v>156</v>
      </c>
      <c r="M60" s="236">
        <f t="shared" si="0"/>
        <v>2018415</v>
      </c>
    </row>
    <row r="61" spans="1:13" x14ac:dyDescent="0.3">
      <c r="A61" s="2">
        <v>2018434</v>
      </c>
      <c r="B61" s="24" t="s">
        <v>216</v>
      </c>
      <c r="C61" s="1" t="s">
        <v>1057</v>
      </c>
      <c r="D61" s="10" t="s">
        <v>1435</v>
      </c>
      <c r="E61" s="27" t="s">
        <v>1332</v>
      </c>
      <c r="F61" s="10">
        <v>3144841</v>
      </c>
      <c r="G61" s="10" t="s">
        <v>1437</v>
      </c>
      <c r="H61" s="27" t="s">
        <v>715</v>
      </c>
      <c r="I61" s="27" t="s">
        <v>715</v>
      </c>
      <c r="J61" s="27" t="s">
        <v>715</v>
      </c>
      <c r="K61" s="21">
        <v>43483</v>
      </c>
      <c r="L61" s="24" t="s">
        <v>211</v>
      </c>
      <c r="M61" s="236">
        <f t="shared" si="0"/>
        <v>2018434</v>
      </c>
    </row>
    <row r="62" spans="1:13" x14ac:dyDescent="0.3">
      <c r="A62" s="2">
        <v>2020005</v>
      </c>
      <c r="B62" s="58" t="s">
        <v>1272</v>
      </c>
      <c r="C62" s="1" t="s">
        <v>1273</v>
      </c>
      <c r="D62" s="10" t="s">
        <v>1274</v>
      </c>
      <c r="E62" s="10" t="s">
        <v>1275</v>
      </c>
      <c r="F62" s="10">
        <v>3814837</v>
      </c>
      <c r="G62" s="10" t="s">
        <v>1276</v>
      </c>
      <c r="H62" s="10">
        <v>0</v>
      </c>
      <c r="I62" s="10">
        <v>839</v>
      </c>
      <c r="J62" s="10">
        <v>622</v>
      </c>
      <c r="K62" s="22" t="s">
        <v>1271</v>
      </c>
      <c r="L62" s="24" t="s">
        <v>157</v>
      </c>
      <c r="M62" s="236">
        <f t="shared" si="0"/>
        <v>2020005</v>
      </c>
    </row>
    <row r="63" spans="1:13" x14ac:dyDescent="0.3">
      <c r="A63" s="64">
        <v>2020082</v>
      </c>
      <c r="B63" s="24" t="s">
        <v>1904</v>
      </c>
      <c r="C63" s="1" t="s">
        <v>1905</v>
      </c>
      <c r="D63" s="10" t="s">
        <v>1906</v>
      </c>
      <c r="E63" s="10" t="s">
        <v>1907</v>
      </c>
      <c r="F63" s="10">
        <v>5901162</v>
      </c>
      <c r="G63" s="10" t="s">
        <v>1908</v>
      </c>
      <c r="H63" s="10">
        <v>0</v>
      </c>
      <c r="I63" s="10">
        <v>823</v>
      </c>
      <c r="J63" s="10">
        <v>364</v>
      </c>
      <c r="K63" s="22"/>
      <c r="L63" s="24" t="s">
        <v>156</v>
      </c>
      <c r="M63" s="236">
        <f t="shared" si="0"/>
        <v>2020082</v>
      </c>
    </row>
    <row r="64" spans="1:13" x14ac:dyDescent="0.3">
      <c r="A64" s="64">
        <v>2018376</v>
      </c>
      <c r="B64" s="24" t="s">
        <v>946</v>
      </c>
      <c r="C64" s="1" t="s">
        <v>459</v>
      </c>
      <c r="D64" s="10" t="s">
        <v>460</v>
      </c>
      <c r="E64" s="10" t="s">
        <v>461</v>
      </c>
      <c r="F64" s="10">
        <v>4477762010</v>
      </c>
      <c r="G64" s="10" t="s">
        <v>462</v>
      </c>
      <c r="H64" s="10"/>
      <c r="I64" s="10">
        <v>823</v>
      </c>
      <c r="J64" s="10">
        <v>610</v>
      </c>
      <c r="K64" s="21">
        <v>43481</v>
      </c>
      <c r="L64" s="24" t="s">
        <v>157</v>
      </c>
      <c r="M64" s="236">
        <f t="shared" si="0"/>
        <v>2018376</v>
      </c>
    </row>
    <row r="65" spans="1:13" x14ac:dyDescent="0.3">
      <c r="A65" s="64">
        <v>2018381</v>
      </c>
      <c r="B65" s="24" t="s">
        <v>201</v>
      </c>
      <c r="C65" s="1" t="s">
        <v>507</v>
      </c>
      <c r="D65" s="10" t="s">
        <v>508</v>
      </c>
      <c r="E65" s="10" t="s">
        <v>1440</v>
      </c>
      <c r="F65" s="10">
        <v>768133010</v>
      </c>
      <c r="G65" s="10" t="s">
        <v>509</v>
      </c>
      <c r="H65" s="10"/>
      <c r="I65" s="10">
        <v>823</v>
      </c>
      <c r="J65" s="10">
        <v>364</v>
      </c>
      <c r="K65" s="21">
        <v>43481</v>
      </c>
      <c r="L65" s="24" t="s">
        <v>211</v>
      </c>
      <c r="M65" s="236">
        <f t="shared" si="0"/>
        <v>2018381</v>
      </c>
    </row>
    <row r="66" spans="1:13" x14ac:dyDescent="0.3">
      <c r="A66" s="2">
        <v>2018371</v>
      </c>
      <c r="B66" s="24" t="s">
        <v>1305</v>
      </c>
      <c r="C66" s="1" t="s">
        <v>428</v>
      </c>
      <c r="D66" s="10" t="s">
        <v>429</v>
      </c>
      <c r="E66" s="10" t="s">
        <v>430</v>
      </c>
      <c r="F66" s="10">
        <v>4394838</v>
      </c>
      <c r="G66" s="10" t="s">
        <v>431</v>
      </c>
      <c r="H66" s="10">
        <v>2</v>
      </c>
      <c r="I66" s="10" t="s">
        <v>1257</v>
      </c>
      <c r="J66" s="10" t="s">
        <v>1306</v>
      </c>
      <c r="K66" s="21">
        <v>43481</v>
      </c>
      <c r="L66" s="24" t="s">
        <v>375</v>
      </c>
      <c r="M66" s="236">
        <f t="shared" si="0"/>
        <v>2018371</v>
      </c>
    </row>
    <row r="67" spans="1:13" x14ac:dyDescent="0.3">
      <c r="A67" s="2">
        <v>2018413</v>
      </c>
      <c r="B67" s="24" t="s">
        <v>1793</v>
      </c>
      <c r="C67" s="1" t="s">
        <v>893</v>
      </c>
      <c r="D67" s="10" t="s">
        <v>894</v>
      </c>
      <c r="E67" s="27" t="s">
        <v>715</v>
      </c>
      <c r="F67" s="27" t="s">
        <v>715</v>
      </c>
      <c r="G67" s="10" t="s">
        <v>895</v>
      </c>
      <c r="H67" s="27" t="s">
        <v>715</v>
      </c>
      <c r="I67" s="10"/>
      <c r="J67" s="27" t="s">
        <v>715</v>
      </c>
      <c r="K67" s="21"/>
      <c r="L67" s="24" t="s">
        <v>156</v>
      </c>
      <c r="M67" s="236">
        <f t="shared" ref="M67:M130" si="1">A67</f>
        <v>2018413</v>
      </c>
    </row>
    <row r="68" spans="1:13" x14ac:dyDescent="0.3">
      <c r="A68" s="2">
        <v>2018435</v>
      </c>
      <c r="B68" s="24" t="s">
        <v>125</v>
      </c>
      <c r="C68" s="1" t="s">
        <v>1058</v>
      </c>
      <c r="D68" s="10" t="s">
        <v>1059</v>
      </c>
      <c r="E68" s="27" t="s">
        <v>715</v>
      </c>
      <c r="F68" s="27" t="s">
        <v>715</v>
      </c>
      <c r="G68" s="10" t="s">
        <v>1060</v>
      </c>
      <c r="H68" s="27" t="s">
        <v>715</v>
      </c>
      <c r="I68" s="10">
        <v>807</v>
      </c>
      <c r="J68" s="10">
        <v>93</v>
      </c>
      <c r="K68" s="21"/>
      <c r="L68" s="24" t="s">
        <v>157</v>
      </c>
      <c r="M68" s="236">
        <f t="shared" si="1"/>
        <v>2018435</v>
      </c>
    </row>
    <row r="69" spans="1:13" x14ac:dyDescent="0.3">
      <c r="A69" s="2">
        <v>2018401</v>
      </c>
      <c r="B69" s="24" t="s">
        <v>130</v>
      </c>
      <c r="C69" s="1" t="s">
        <v>1561</v>
      </c>
      <c r="D69" s="10" t="s">
        <v>772</v>
      </c>
      <c r="E69" s="27" t="s">
        <v>1562</v>
      </c>
      <c r="F69" s="27">
        <v>3575254</v>
      </c>
      <c r="G69" s="10" t="s">
        <v>773</v>
      </c>
      <c r="H69" s="27" t="s">
        <v>715</v>
      </c>
      <c r="I69" s="10">
        <v>823</v>
      </c>
      <c r="J69" s="10">
        <v>610</v>
      </c>
      <c r="K69" s="21">
        <v>43483</v>
      </c>
      <c r="L69" s="24" t="s">
        <v>157</v>
      </c>
      <c r="M69" s="236">
        <f t="shared" si="1"/>
        <v>2018401</v>
      </c>
    </row>
    <row r="70" spans="1:13" x14ac:dyDescent="0.3">
      <c r="A70" s="2">
        <v>2018130</v>
      </c>
      <c r="B70" s="24" t="s">
        <v>78</v>
      </c>
      <c r="C70" s="1" t="s">
        <v>61</v>
      </c>
      <c r="D70" s="10" t="s">
        <v>604</v>
      </c>
      <c r="E70" s="10" t="s">
        <v>1436</v>
      </c>
      <c r="F70" s="10">
        <v>4537172015</v>
      </c>
      <c r="G70" s="10" t="s">
        <v>1601</v>
      </c>
      <c r="H70" s="10"/>
      <c r="I70" s="10">
        <v>823</v>
      </c>
      <c r="J70" s="10">
        <v>364</v>
      </c>
      <c r="K70" s="21" t="s">
        <v>1602</v>
      </c>
      <c r="L70" s="24" t="s">
        <v>156</v>
      </c>
      <c r="M70" s="236">
        <f t="shared" si="1"/>
        <v>2018130</v>
      </c>
    </row>
    <row r="71" spans="1:13" x14ac:dyDescent="0.3">
      <c r="A71" s="64">
        <v>2018085</v>
      </c>
      <c r="B71" s="24" t="s">
        <v>454</v>
      </c>
      <c r="C71" s="1" t="s">
        <v>46</v>
      </c>
      <c r="D71" s="10" t="s">
        <v>383</v>
      </c>
      <c r="E71" s="10" t="s">
        <v>1359</v>
      </c>
      <c r="F71" s="10">
        <v>4257907</v>
      </c>
      <c r="G71" s="10" t="s">
        <v>1372</v>
      </c>
      <c r="H71" s="10"/>
      <c r="I71" s="10">
        <v>839</v>
      </c>
      <c r="J71" s="10">
        <v>371</v>
      </c>
      <c r="K71" s="21">
        <v>43480</v>
      </c>
      <c r="L71" s="24" t="s">
        <v>156</v>
      </c>
      <c r="M71" s="236">
        <f t="shared" si="1"/>
        <v>2018085</v>
      </c>
    </row>
    <row r="72" spans="1:13" x14ac:dyDescent="0.3">
      <c r="A72" s="64">
        <v>2020027</v>
      </c>
      <c r="B72" s="24" t="s">
        <v>201</v>
      </c>
      <c r="C72" s="1" t="s">
        <v>1449</v>
      </c>
      <c r="D72" s="10" t="s">
        <v>1450</v>
      </c>
      <c r="E72" s="10" t="s">
        <v>1436</v>
      </c>
      <c r="F72" s="10">
        <v>6434082</v>
      </c>
      <c r="G72" s="10" t="s">
        <v>1451</v>
      </c>
      <c r="H72" s="27" t="s">
        <v>715</v>
      </c>
      <c r="I72" s="10">
        <v>823</v>
      </c>
      <c r="J72" s="10">
        <v>364</v>
      </c>
      <c r="K72" s="22"/>
      <c r="L72" s="24" t="s">
        <v>211</v>
      </c>
      <c r="M72" s="236">
        <f t="shared" si="1"/>
        <v>2020027</v>
      </c>
    </row>
    <row r="73" spans="1:13" x14ac:dyDescent="0.3">
      <c r="A73" s="2">
        <v>2018423</v>
      </c>
      <c r="B73" s="24" t="s">
        <v>997</v>
      </c>
      <c r="C73" s="1" t="s">
        <v>998</v>
      </c>
      <c r="D73" s="10" t="s">
        <v>999</v>
      </c>
      <c r="E73" s="27" t="s">
        <v>715</v>
      </c>
      <c r="F73" s="27" t="s">
        <v>715</v>
      </c>
      <c r="G73" s="10" t="s">
        <v>1000</v>
      </c>
      <c r="H73" s="27" t="s">
        <v>715</v>
      </c>
      <c r="I73" s="10">
        <v>807</v>
      </c>
      <c r="J73" s="10">
        <v>598</v>
      </c>
      <c r="K73" s="21">
        <v>43481</v>
      </c>
      <c r="L73" s="24" t="s">
        <v>157</v>
      </c>
      <c r="M73" s="236">
        <f t="shared" si="1"/>
        <v>2018423</v>
      </c>
    </row>
    <row r="74" spans="1:13" x14ac:dyDescent="0.3">
      <c r="A74" s="2">
        <v>2018405</v>
      </c>
      <c r="B74" s="24" t="s">
        <v>560</v>
      </c>
      <c r="C74" s="1" t="s">
        <v>808</v>
      </c>
      <c r="D74" s="10" t="s">
        <v>809</v>
      </c>
      <c r="E74" s="27" t="s">
        <v>715</v>
      </c>
      <c r="F74" s="27" t="s">
        <v>715</v>
      </c>
      <c r="G74" s="10" t="s">
        <v>810</v>
      </c>
      <c r="H74" s="10">
        <v>2</v>
      </c>
      <c r="I74" s="10" t="s">
        <v>279</v>
      </c>
      <c r="J74" s="10" t="s">
        <v>417</v>
      </c>
      <c r="K74" s="21">
        <v>43483</v>
      </c>
      <c r="L74" s="24" t="s">
        <v>156</v>
      </c>
      <c r="M74" s="236">
        <f t="shared" si="1"/>
        <v>2018405</v>
      </c>
    </row>
    <row r="75" spans="1:13" x14ac:dyDescent="0.3">
      <c r="A75" s="2">
        <v>2018453</v>
      </c>
      <c r="B75" s="24" t="s">
        <v>1871</v>
      </c>
      <c r="C75" s="1" t="s">
        <v>1148</v>
      </c>
      <c r="D75" s="10" t="s">
        <v>1149</v>
      </c>
      <c r="E75" s="10"/>
      <c r="F75" s="10"/>
      <c r="G75" s="10" t="s">
        <v>1150</v>
      </c>
      <c r="H75" s="27" t="s">
        <v>715</v>
      </c>
      <c r="I75" s="10">
        <v>823</v>
      </c>
      <c r="J75" s="10">
        <v>364</v>
      </c>
      <c r="K75" s="21"/>
      <c r="L75" s="24" t="s">
        <v>156</v>
      </c>
      <c r="M75" s="236">
        <f t="shared" si="1"/>
        <v>2018453</v>
      </c>
    </row>
    <row r="76" spans="1:13" x14ac:dyDescent="0.3">
      <c r="A76" s="2">
        <v>2020008</v>
      </c>
      <c r="B76" s="24" t="s">
        <v>1155</v>
      </c>
      <c r="C76" s="1" t="s">
        <v>1301</v>
      </c>
      <c r="D76" s="10" t="s">
        <v>1302</v>
      </c>
      <c r="E76" s="10" t="s">
        <v>1303</v>
      </c>
      <c r="F76" s="10">
        <v>986417016</v>
      </c>
      <c r="G76" s="10" t="s">
        <v>1304</v>
      </c>
      <c r="H76" s="27" t="s">
        <v>715</v>
      </c>
      <c r="I76" s="10">
        <v>839</v>
      </c>
      <c r="J76" s="10">
        <v>371</v>
      </c>
      <c r="K76" s="22"/>
      <c r="L76" s="24" t="s">
        <v>211</v>
      </c>
      <c r="M76" s="236">
        <f t="shared" si="1"/>
        <v>2020008</v>
      </c>
    </row>
    <row r="77" spans="1:13" x14ac:dyDescent="0.3">
      <c r="A77" s="2">
        <v>2018403</v>
      </c>
      <c r="B77" s="24" t="s">
        <v>1407</v>
      </c>
      <c r="C77" s="1" t="s">
        <v>783</v>
      </c>
      <c r="D77" s="10" t="s">
        <v>784</v>
      </c>
      <c r="E77" s="10" t="s">
        <v>785</v>
      </c>
      <c r="F77" s="10">
        <v>996155</v>
      </c>
      <c r="G77" s="10" t="s">
        <v>786</v>
      </c>
      <c r="H77" s="27" t="s">
        <v>715</v>
      </c>
      <c r="I77" s="10">
        <v>839</v>
      </c>
      <c r="J77" s="10">
        <v>371</v>
      </c>
      <c r="K77" s="21" t="s">
        <v>1271</v>
      </c>
      <c r="L77" s="24" t="s">
        <v>156</v>
      </c>
      <c r="M77" s="236">
        <f t="shared" si="1"/>
        <v>2018403</v>
      </c>
    </row>
    <row r="78" spans="1:13" x14ac:dyDescent="0.3">
      <c r="A78" s="2">
        <v>2018277</v>
      </c>
      <c r="B78" s="24" t="s">
        <v>328</v>
      </c>
      <c r="C78" s="1" t="s">
        <v>1475</v>
      </c>
      <c r="D78" s="10" t="s">
        <v>1476</v>
      </c>
      <c r="E78" s="10" t="s">
        <v>511</v>
      </c>
      <c r="F78" s="10">
        <v>4535982019</v>
      </c>
      <c r="G78" s="10" t="s">
        <v>1477</v>
      </c>
      <c r="H78" s="27" t="s">
        <v>715</v>
      </c>
      <c r="I78" s="27" t="s">
        <v>715</v>
      </c>
      <c r="J78" s="27" t="s">
        <v>715</v>
      </c>
      <c r="K78" s="21">
        <v>43481</v>
      </c>
      <c r="L78" s="24" t="s">
        <v>156</v>
      </c>
      <c r="M78" s="236">
        <f t="shared" si="1"/>
        <v>2018277</v>
      </c>
    </row>
    <row r="79" spans="1:13" x14ac:dyDescent="0.3">
      <c r="A79" s="2">
        <v>2018003</v>
      </c>
      <c r="B79" s="24" t="s">
        <v>28</v>
      </c>
      <c r="C79" s="1" t="s">
        <v>0</v>
      </c>
      <c r="D79" s="10" t="s">
        <v>1144</v>
      </c>
      <c r="E79" s="27" t="s">
        <v>715</v>
      </c>
      <c r="F79" s="27" t="s">
        <v>715</v>
      </c>
      <c r="G79" s="10" t="s">
        <v>1145</v>
      </c>
      <c r="H79" s="10">
        <v>2</v>
      </c>
      <c r="I79" s="10">
        <v>750</v>
      </c>
      <c r="J79" s="27" t="s">
        <v>715</v>
      </c>
      <c r="K79" s="21">
        <v>43480</v>
      </c>
      <c r="L79" s="24" t="s">
        <v>156</v>
      </c>
      <c r="M79" s="236">
        <f t="shared" si="1"/>
        <v>2018003</v>
      </c>
    </row>
    <row r="80" spans="1:13" x14ac:dyDescent="0.3">
      <c r="A80" s="2">
        <v>2018424</v>
      </c>
      <c r="B80" s="24" t="s">
        <v>216</v>
      </c>
      <c r="C80" s="1" t="s">
        <v>1008</v>
      </c>
      <c r="D80" s="27" t="s">
        <v>1009</v>
      </c>
      <c r="E80" s="27" t="s">
        <v>715</v>
      </c>
      <c r="F80" s="27" t="s">
        <v>715</v>
      </c>
      <c r="G80" s="10" t="s">
        <v>1694</v>
      </c>
      <c r="H80" s="27" t="s">
        <v>715</v>
      </c>
      <c r="I80" s="10">
        <v>823</v>
      </c>
      <c r="J80" s="10">
        <v>364</v>
      </c>
      <c r="K80" s="22" t="s">
        <v>1010</v>
      </c>
      <c r="L80" s="24" t="s">
        <v>211</v>
      </c>
      <c r="M80" s="236">
        <f t="shared" si="1"/>
        <v>2018424</v>
      </c>
    </row>
    <row r="81" spans="1:13" x14ac:dyDescent="0.3">
      <c r="A81" s="2">
        <v>2018463</v>
      </c>
      <c r="B81" s="24" t="s">
        <v>1159</v>
      </c>
      <c r="C81" s="1" t="s">
        <v>1198</v>
      </c>
      <c r="D81" s="10" t="s">
        <v>1199</v>
      </c>
      <c r="E81" s="10"/>
      <c r="F81" s="10"/>
      <c r="G81" s="10" t="s">
        <v>1200</v>
      </c>
      <c r="H81" s="10"/>
      <c r="I81" s="10">
        <v>807</v>
      </c>
      <c r="J81" s="10">
        <v>357</v>
      </c>
      <c r="K81" s="22" t="s">
        <v>1197</v>
      </c>
      <c r="L81" s="24" t="s">
        <v>156</v>
      </c>
      <c r="M81" s="236">
        <f t="shared" si="1"/>
        <v>2018463</v>
      </c>
    </row>
    <row r="82" spans="1:13" x14ac:dyDescent="0.3">
      <c r="A82" s="2">
        <v>2018291</v>
      </c>
      <c r="B82" s="24" t="s">
        <v>116</v>
      </c>
      <c r="C82" s="1" t="s">
        <v>111</v>
      </c>
      <c r="D82" s="10" t="s">
        <v>839</v>
      </c>
      <c r="E82" s="27" t="s">
        <v>840</v>
      </c>
      <c r="F82" s="27" t="s">
        <v>715</v>
      </c>
      <c r="G82" s="10" t="s">
        <v>841</v>
      </c>
      <c r="H82" s="27" t="s">
        <v>715</v>
      </c>
      <c r="I82" s="10">
        <v>807</v>
      </c>
      <c r="J82" s="10">
        <v>598</v>
      </c>
      <c r="K82" s="21">
        <v>43483</v>
      </c>
      <c r="L82" s="24" t="s">
        <v>157</v>
      </c>
      <c r="M82" s="236">
        <f t="shared" si="1"/>
        <v>2018291</v>
      </c>
    </row>
    <row r="83" spans="1:13" x14ac:dyDescent="0.3">
      <c r="A83" s="2">
        <v>2018057</v>
      </c>
      <c r="B83" s="24" t="s">
        <v>756</v>
      </c>
      <c r="C83" s="1" t="s">
        <v>757</v>
      </c>
      <c r="D83" s="10" t="s">
        <v>758</v>
      </c>
      <c r="E83" s="27" t="s">
        <v>715</v>
      </c>
      <c r="F83" s="27" t="s">
        <v>715</v>
      </c>
      <c r="G83" s="10" t="s">
        <v>759</v>
      </c>
      <c r="H83" s="10">
        <v>3</v>
      </c>
      <c r="I83" s="27" t="s">
        <v>715</v>
      </c>
      <c r="J83" s="27" t="s">
        <v>715</v>
      </c>
      <c r="K83" s="21">
        <v>43483</v>
      </c>
      <c r="L83" s="24" t="s">
        <v>280</v>
      </c>
      <c r="M83" s="236">
        <f t="shared" si="1"/>
        <v>2018057</v>
      </c>
    </row>
    <row r="84" spans="1:13" x14ac:dyDescent="0.3">
      <c r="A84" s="64">
        <v>2018258</v>
      </c>
      <c r="B84" s="24" t="s">
        <v>108</v>
      </c>
      <c r="C84" s="1" t="s">
        <v>98</v>
      </c>
      <c r="D84" s="10" t="s">
        <v>1017</v>
      </c>
      <c r="E84" s="10" t="s">
        <v>1018</v>
      </c>
      <c r="F84" s="10">
        <v>3029214</v>
      </c>
      <c r="G84" s="10" t="s">
        <v>1019</v>
      </c>
      <c r="H84" s="27" t="s">
        <v>715</v>
      </c>
      <c r="I84" s="10">
        <v>823</v>
      </c>
      <c r="J84" s="10">
        <v>610</v>
      </c>
      <c r="K84" s="21"/>
      <c r="L84" s="24" t="s">
        <v>157</v>
      </c>
      <c r="M84" s="236">
        <f t="shared" si="1"/>
        <v>2018258</v>
      </c>
    </row>
    <row r="85" spans="1:13" x14ac:dyDescent="0.3">
      <c r="A85" s="2">
        <v>2018468</v>
      </c>
      <c r="B85" s="24" t="s">
        <v>1222</v>
      </c>
      <c r="C85" s="1" t="s">
        <v>1214</v>
      </c>
      <c r="D85" s="10" t="s">
        <v>1215</v>
      </c>
      <c r="E85" s="10"/>
      <c r="F85" s="10"/>
      <c r="G85" s="10" t="s">
        <v>1216</v>
      </c>
      <c r="H85" s="10">
        <v>0</v>
      </c>
      <c r="I85" s="10">
        <v>807</v>
      </c>
      <c r="J85" s="10">
        <v>357</v>
      </c>
      <c r="K85" s="22" t="s">
        <v>1217</v>
      </c>
      <c r="L85" s="24" t="s">
        <v>156</v>
      </c>
      <c r="M85" s="236">
        <f t="shared" si="1"/>
        <v>2018468</v>
      </c>
    </row>
    <row r="86" spans="1:13" x14ac:dyDescent="0.3">
      <c r="A86" s="2">
        <v>2018152</v>
      </c>
      <c r="B86" s="63" t="s">
        <v>1222</v>
      </c>
      <c r="C86" s="1" t="s">
        <v>498</v>
      </c>
      <c r="D86" s="10" t="s">
        <v>289</v>
      </c>
      <c r="E86" s="27" t="s">
        <v>715</v>
      </c>
      <c r="F86" s="27" t="s">
        <v>715</v>
      </c>
      <c r="G86" s="10" t="s">
        <v>499</v>
      </c>
      <c r="H86" s="10">
        <v>2</v>
      </c>
      <c r="I86" s="27" t="s">
        <v>715</v>
      </c>
      <c r="J86" s="27" t="s">
        <v>715</v>
      </c>
      <c r="K86" s="21">
        <v>43481</v>
      </c>
      <c r="L86" s="24" t="s">
        <v>280</v>
      </c>
      <c r="M86" s="236">
        <f t="shared" si="1"/>
        <v>2018152</v>
      </c>
    </row>
    <row r="87" spans="1:13" x14ac:dyDescent="0.3">
      <c r="A87" s="64">
        <v>2018211</v>
      </c>
      <c r="B87" s="58" t="s">
        <v>1498</v>
      </c>
      <c r="C87" s="1" t="s">
        <v>1500</v>
      </c>
      <c r="D87" s="10" t="s">
        <v>705</v>
      </c>
      <c r="E87" s="10" t="s">
        <v>1499</v>
      </c>
      <c r="F87" s="10">
        <v>4450021</v>
      </c>
      <c r="G87" s="10" t="s">
        <v>706</v>
      </c>
      <c r="H87" s="10">
        <v>4</v>
      </c>
      <c r="I87" s="27" t="s">
        <v>715</v>
      </c>
      <c r="J87" s="27" t="s">
        <v>715</v>
      </c>
      <c r="K87" s="21">
        <v>43483</v>
      </c>
      <c r="L87" s="24" t="s">
        <v>280</v>
      </c>
      <c r="M87" s="236">
        <f t="shared" si="1"/>
        <v>2018211</v>
      </c>
    </row>
    <row r="88" spans="1:13" x14ac:dyDescent="0.3">
      <c r="A88" s="2">
        <v>2018086</v>
      </c>
      <c r="B88" s="24" t="s">
        <v>577</v>
      </c>
      <c r="C88" s="1" t="s">
        <v>872</v>
      </c>
      <c r="D88" s="10" t="s">
        <v>873</v>
      </c>
      <c r="E88" s="27" t="s">
        <v>715</v>
      </c>
      <c r="F88" s="27" t="s">
        <v>715</v>
      </c>
      <c r="G88" s="10" t="s">
        <v>874</v>
      </c>
      <c r="H88" s="10">
        <v>2</v>
      </c>
      <c r="I88" s="27" t="s">
        <v>715</v>
      </c>
      <c r="J88" s="27" t="s">
        <v>715</v>
      </c>
      <c r="K88" s="21">
        <v>43483</v>
      </c>
      <c r="L88" s="24" t="s">
        <v>568</v>
      </c>
      <c r="M88" s="236">
        <f t="shared" si="1"/>
        <v>2018086</v>
      </c>
    </row>
    <row r="89" spans="1:13" x14ac:dyDescent="0.3">
      <c r="A89" s="2">
        <v>2017050</v>
      </c>
      <c r="B89" s="24" t="s">
        <v>380</v>
      </c>
      <c r="C89" s="1" t="s">
        <v>891</v>
      </c>
      <c r="D89" s="10" t="s">
        <v>892</v>
      </c>
      <c r="E89" s="27" t="s">
        <v>697</v>
      </c>
      <c r="F89" s="10">
        <v>3970922</v>
      </c>
      <c r="G89" s="10" t="s">
        <v>1666</v>
      </c>
      <c r="H89" s="10">
        <v>2</v>
      </c>
      <c r="I89" s="10">
        <v>1646</v>
      </c>
      <c r="J89" s="10">
        <v>728</v>
      </c>
      <c r="K89" s="21">
        <v>43480</v>
      </c>
      <c r="L89" s="24" t="s">
        <v>156</v>
      </c>
      <c r="M89" s="236">
        <f t="shared" si="1"/>
        <v>2017050</v>
      </c>
    </row>
    <row r="90" spans="1:13" x14ac:dyDescent="0.3">
      <c r="A90" s="2">
        <v>2020045</v>
      </c>
      <c r="B90" s="24" t="s">
        <v>1642</v>
      </c>
      <c r="C90" s="1" t="s">
        <v>1638</v>
      </c>
      <c r="D90" s="10" t="s">
        <v>1639</v>
      </c>
      <c r="E90" s="10" t="s">
        <v>1640</v>
      </c>
      <c r="F90" s="10">
        <v>5263065</v>
      </c>
      <c r="G90" s="10" t="s">
        <v>1641</v>
      </c>
      <c r="H90" s="27" t="s">
        <v>715</v>
      </c>
      <c r="I90" s="10">
        <v>823</v>
      </c>
      <c r="J90" s="10">
        <v>364</v>
      </c>
      <c r="K90" s="22"/>
      <c r="L90" s="24" t="s">
        <v>211</v>
      </c>
      <c r="M90" s="236">
        <f t="shared" si="1"/>
        <v>2020045</v>
      </c>
    </row>
    <row r="91" spans="1:13" x14ac:dyDescent="0.3">
      <c r="A91" s="64">
        <v>2018395</v>
      </c>
      <c r="B91" s="24" t="s">
        <v>201</v>
      </c>
      <c r="C91" s="1" t="s">
        <v>695</v>
      </c>
      <c r="D91" s="10" t="s">
        <v>696</v>
      </c>
      <c r="E91" s="10" t="s">
        <v>697</v>
      </c>
      <c r="F91" s="10">
        <v>4018039</v>
      </c>
      <c r="G91" s="10" t="s">
        <v>698</v>
      </c>
      <c r="H91" s="27" t="s">
        <v>715</v>
      </c>
      <c r="I91" s="10">
        <v>823</v>
      </c>
      <c r="J91" s="10">
        <v>364</v>
      </c>
      <c r="K91" s="21">
        <v>43483</v>
      </c>
      <c r="L91" s="24" t="s">
        <v>211</v>
      </c>
      <c r="M91" s="236">
        <f t="shared" si="1"/>
        <v>2018395</v>
      </c>
    </row>
    <row r="92" spans="1:13" x14ac:dyDescent="0.3">
      <c r="A92" s="2">
        <v>2017051</v>
      </c>
      <c r="B92" s="24" t="s">
        <v>28</v>
      </c>
      <c r="C92" s="1" t="s">
        <v>1</v>
      </c>
      <c r="D92" s="10" t="s">
        <v>236</v>
      </c>
      <c r="E92" s="10" t="s">
        <v>238</v>
      </c>
      <c r="F92" s="10">
        <v>5269731</v>
      </c>
      <c r="G92" s="10" t="s">
        <v>237</v>
      </c>
      <c r="H92" s="10"/>
      <c r="I92" s="10">
        <v>703</v>
      </c>
      <c r="J92" s="10">
        <v>248</v>
      </c>
      <c r="K92" s="21">
        <v>43479</v>
      </c>
      <c r="L92" s="24" t="s">
        <v>156</v>
      </c>
      <c r="M92" s="236">
        <f t="shared" si="1"/>
        <v>2017051</v>
      </c>
    </row>
    <row r="93" spans="1:13" x14ac:dyDescent="0.3">
      <c r="A93" s="2">
        <v>2018006</v>
      </c>
      <c r="B93" s="24" t="s">
        <v>216</v>
      </c>
      <c r="C93" s="1" t="s">
        <v>1865</v>
      </c>
      <c r="D93" s="10" t="s">
        <v>865</v>
      </c>
      <c r="E93" s="27" t="s">
        <v>715</v>
      </c>
      <c r="F93" s="27" t="s">
        <v>715</v>
      </c>
      <c r="G93" s="10" t="s">
        <v>864</v>
      </c>
      <c r="H93" s="10">
        <v>1</v>
      </c>
      <c r="I93" s="27" t="s">
        <v>715</v>
      </c>
      <c r="J93" s="27" t="s">
        <v>715</v>
      </c>
      <c r="K93" s="21"/>
      <c r="L93" s="24" t="s">
        <v>211</v>
      </c>
      <c r="M93" s="236">
        <f t="shared" si="1"/>
        <v>2018006</v>
      </c>
    </row>
    <row r="94" spans="1:13" x14ac:dyDescent="0.3">
      <c r="A94" s="2">
        <v>2018058</v>
      </c>
      <c r="B94" s="24" t="s">
        <v>53</v>
      </c>
      <c r="C94" s="1" t="s">
        <v>31</v>
      </c>
      <c r="D94" s="10"/>
      <c r="E94" s="10"/>
      <c r="F94" s="10"/>
      <c r="G94" s="10"/>
      <c r="H94" s="10"/>
      <c r="I94" s="10"/>
      <c r="J94" s="10"/>
      <c r="K94" s="21"/>
      <c r="L94" s="24" t="s">
        <v>156</v>
      </c>
      <c r="M94" s="236">
        <f t="shared" si="1"/>
        <v>2018058</v>
      </c>
    </row>
    <row r="95" spans="1:13" x14ac:dyDescent="0.3">
      <c r="A95" s="2">
        <v>2020062</v>
      </c>
      <c r="B95" s="24" t="s">
        <v>1770</v>
      </c>
      <c r="C95" s="1" t="s">
        <v>1799</v>
      </c>
      <c r="D95" s="10" t="s">
        <v>1800</v>
      </c>
      <c r="E95" s="10" t="s">
        <v>748</v>
      </c>
      <c r="F95" s="10" t="s">
        <v>748</v>
      </c>
      <c r="G95" s="10" t="s">
        <v>1801</v>
      </c>
      <c r="H95" s="10">
        <v>0</v>
      </c>
      <c r="I95" s="10">
        <v>715</v>
      </c>
      <c r="J95" s="10">
        <v>0</v>
      </c>
      <c r="K95" s="22"/>
      <c r="L95" s="24" t="s">
        <v>156</v>
      </c>
      <c r="M95" s="236">
        <f t="shared" si="1"/>
        <v>2020062</v>
      </c>
    </row>
    <row r="96" spans="1:13" x14ac:dyDescent="0.3">
      <c r="A96" s="2">
        <v>2020046</v>
      </c>
      <c r="B96" s="24" t="s">
        <v>454</v>
      </c>
      <c r="C96" s="1" t="s">
        <v>1652</v>
      </c>
      <c r="D96" s="10" t="s">
        <v>1653</v>
      </c>
      <c r="E96" s="10" t="s">
        <v>1654</v>
      </c>
      <c r="F96" s="10">
        <v>3768771</v>
      </c>
      <c r="G96" s="10" t="s">
        <v>1655</v>
      </c>
      <c r="H96" s="27" t="s">
        <v>715</v>
      </c>
      <c r="I96" s="10">
        <v>823</v>
      </c>
      <c r="J96" s="10">
        <v>364</v>
      </c>
      <c r="K96" s="22"/>
      <c r="L96" s="24" t="s">
        <v>156</v>
      </c>
      <c r="M96" s="236">
        <f t="shared" si="1"/>
        <v>2020046</v>
      </c>
    </row>
    <row r="97" spans="1:13" x14ac:dyDescent="0.3">
      <c r="A97" s="2">
        <v>2018454</v>
      </c>
      <c r="B97" s="24" t="s">
        <v>201</v>
      </c>
      <c r="C97" s="1" t="s">
        <v>1156</v>
      </c>
      <c r="D97" s="10" t="s">
        <v>1606</v>
      </c>
      <c r="E97" s="27" t="s">
        <v>715</v>
      </c>
      <c r="F97" s="27" t="s">
        <v>715</v>
      </c>
      <c r="G97" s="10" t="s">
        <v>1607</v>
      </c>
      <c r="H97" s="27" t="s">
        <v>715</v>
      </c>
      <c r="I97" s="10">
        <v>823</v>
      </c>
      <c r="J97" s="10">
        <v>364</v>
      </c>
      <c r="K97" s="21">
        <v>43482</v>
      </c>
      <c r="L97" s="24" t="s">
        <v>211</v>
      </c>
      <c r="M97" s="236">
        <f t="shared" si="1"/>
        <v>2018454</v>
      </c>
    </row>
    <row r="98" spans="1:13" x14ac:dyDescent="0.3">
      <c r="A98" s="2">
        <v>2018031</v>
      </c>
      <c r="B98" s="24" t="s">
        <v>43</v>
      </c>
      <c r="C98" s="1" t="s">
        <v>16</v>
      </c>
      <c r="D98" s="10" t="s">
        <v>716</v>
      </c>
      <c r="E98" s="10" t="s">
        <v>717</v>
      </c>
      <c r="F98" s="10">
        <v>824305</v>
      </c>
      <c r="G98" s="10" t="s">
        <v>718</v>
      </c>
      <c r="H98" s="27" t="s">
        <v>715</v>
      </c>
      <c r="I98" s="10">
        <v>807</v>
      </c>
      <c r="J98" s="10">
        <v>357</v>
      </c>
      <c r="K98" s="21">
        <v>43483</v>
      </c>
      <c r="L98" s="24" t="s">
        <v>156</v>
      </c>
      <c r="M98" s="236">
        <f t="shared" si="1"/>
        <v>2018031</v>
      </c>
    </row>
    <row r="99" spans="1:13" x14ac:dyDescent="0.3">
      <c r="A99" s="64">
        <v>2018059</v>
      </c>
      <c r="B99" s="24" t="s">
        <v>392</v>
      </c>
      <c r="C99" s="1" t="s">
        <v>405</v>
      </c>
      <c r="D99" s="10" t="s">
        <v>406</v>
      </c>
      <c r="E99" s="10" t="s">
        <v>1605</v>
      </c>
      <c r="F99" s="10">
        <v>4474356014</v>
      </c>
      <c r="G99" s="10" t="s">
        <v>407</v>
      </c>
      <c r="H99" s="10">
        <v>2</v>
      </c>
      <c r="I99" s="27" t="s">
        <v>715</v>
      </c>
      <c r="J99" s="27" t="s">
        <v>715</v>
      </c>
      <c r="K99" s="21">
        <v>43480</v>
      </c>
      <c r="L99" s="24" t="s">
        <v>280</v>
      </c>
      <c r="M99" s="236">
        <f t="shared" si="1"/>
        <v>2018059</v>
      </c>
    </row>
    <row r="100" spans="1:13" x14ac:dyDescent="0.3">
      <c r="A100" s="2">
        <v>2020016</v>
      </c>
      <c r="B100" s="24" t="s">
        <v>573</v>
      </c>
      <c r="C100" s="1" t="s">
        <v>1368</v>
      </c>
      <c r="D100" s="10" t="s">
        <v>1369</v>
      </c>
      <c r="E100" s="10" t="s">
        <v>1370</v>
      </c>
      <c r="F100" s="10">
        <v>4382504014</v>
      </c>
      <c r="G100" s="10" t="s">
        <v>1371</v>
      </c>
      <c r="H100" s="10">
        <v>3</v>
      </c>
      <c r="I100" s="27" t="s">
        <v>715</v>
      </c>
      <c r="J100" s="27" t="s">
        <v>715</v>
      </c>
      <c r="K100" s="22"/>
      <c r="L100" s="24" t="s">
        <v>280</v>
      </c>
      <c r="M100" s="236">
        <f t="shared" si="1"/>
        <v>2020016</v>
      </c>
    </row>
    <row r="101" spans="1:13" x14ac:dyDescent="0.3">
      <c r="A101" s="64">
        <v>2018344</v>
      </c>
      <c r="B101" s="24" t="s">
        <v>340</v>
      </c>
      <c r="C101" s="1" t="s">
        <v>281</v>
      </c>
      <c r="D101" s="10" t="s">
        <v>282</v>
      </c>
      <c r="E101" s="10" t="s">
        <v>1478</v>
      </c>
      <c r="F101" s="10">
        <v>3739649</v>
      </c>
      <c r="G101" s="10" t="s">
        <v>283</v>
      </c>
      <c r="H101" s="27" t="s">
        <v>715</v>
      </c>
      <c r="I101" s="10">
        <v>823</v>
      </c>
      <c r="J101" s="10">
        <v>364</v>
      </c>
      <c r="K101" s="21">
        <v>43480</v>
      </c>
      <c r="L101" s="24" t="s">
        <v>156</v>
      </c>
      <c r="M101" s="236">
        <f t="shared" si="1"/>
        <v>2018344</v>
      </c>
    </row>
    <row r="102" spans="1:13" x14ac:dyDescent="0.3">
      <c r="A102" s="2">
        <v>2018365</v>
      </c>
      <c r="B102" s="24" t="s">
        <v>340</v>
      </c>
      <c r="C102" s="1" t="s">
        <v>386</v>
      </c>
      <c r="D102" s="10" t="s">
        <v>387</v>
      </c>
      <c r="E102" s="10" t="s">
        <v>1348</v>
      </c>
      <c r="F102" s="10">
        <v>5725949</v>
      </c>
      <c r="G102" s="10" t="s">
        <v>388</v>
      </c>
      <c r="H102" s="10"/>
      <c r="I102" s="10">
        <v>839</v>
      </c>
      <c r="J102" s="10">
        <v>371</v>
      </c>
      <c r="K102" s="21">
        <v>43480</v>
      </c>
      <c r="L102" s="24" t="s">
        <v>156</v>
      </c>
      <c r="M102" s="236">
        <f t="shared" si="1"/>
        <v>2018365</v>
      </c>
    </row>
    <row r="103" spans="1:13" x14ac:dyDescent="0.3">
      <c r="A103" s="2">
        <v>2018032</v>
      </c>
      <c r="B103" s="24" t="s">
        <v>317</v>
      </c>
      <c r="C103" s="1" t="s">
        <v>17</v>
      </c>
      <c r="D103" s="10" t="s">
        <v>1546</v>
      </c>
      <c r="E103" s="27" t="s">
        <v>715</v>
      </c>
      <c r="F103" s="27" t="s">
        <v>715</v>
      </c>
      <c r="G103" s="10" t="s">
        <v>1547</v>
      </c>
      <c r="H103" s="27" t="s">
        <v>715</v>
      </c>
      <c r="I103" s="10">
        <v>823</v>
      </c>
      <c r="J103" s="10">
        <v>364</v>
      </c>
      <c r="K103" s="21">
        <v>43483</v>
      </c>
      <c r="L103" s="24" t="s">
        <v>156</v>
      </c>
      <c r="M103" s="236">
        <f t="shared" si="1"/>
        <v>2018032</v>
      </c>
    </row>
    <row r="104" spans="1:13" x14ac:dyDescent="0.3">
      <c r="A104" s="64">
        <v>2018175</v>
      </c>
      <c r="B104" s="24" t="s">
        <v>458</v>
      </c>
      <c r="C104" s="1" t="s">
        <v>72</v>
      </c>
      <c r="D104" s="10" t="s">
        <v>1591</v>
      </c>
      <c r="E104" s="27" t="s">
        <v>715</v>
      </c>
      <c r="F104" s="27" t="s">
        <v>715</v>
      </c>
      <c r="G104" s="10" t="s">
        <v>1592</v>
      </c>
      <c r="H104" s="27" t="s">
        <v>715</v>
      </c>
      <c r="I104" s="10">
        <v>823</v>
      </c>
      <c r="J104" s="10">
        <v>364</v>
      </c>
      <c r="K104" s="21">
        <v>43481</v>
      </c>
      <c r="L104" s="24" t="s">
        <v>156</v>
      </c>
      <c r="M104" s="236">
        <f t="shared" si="1"/>
        <v>2018175</v>
      </c>
    </row>
    <row r="105" spans="1:13" x14ac:dyDescent="0.3">
      <c r="A105" s="2">
        <v>2018360</v>
      </c>
      <c r="B105" s="24" t="s">
        <v>340</v>
      </c>
      <c r="C105" s="1" t="s">
        <v>1680</v>
      </c>
      <c r="D105" s="10" t="s">
        <v>363</v>
      </c>
      <c r="E105" s="10" t="s">
        <v>1681</v>
      </c>
      <c r="F105" s="10">
        <v>6400551017</v>
      </c>
      <c r="G105" s="10" t="s">
        <v>1682</v>
      </c>
      <c r="H105" s="10"/>
      <c r="I105" s="10">
        <v>823</v>
      </c>
      <c r="J105" s="10">
        <v>364</v>
      </c>
      <c r="K105" s="21">
        <v>43480</v>
      </c>
      <c r="L105" s="24" t="s">
        <v>156</v>
      </c>
      <c r="M105" s="236">
        <f t="shared" si="1"/>
        <v>2018360</v>
      </c>
    </row>
    <row r="106" spans="1:13" x14ac:dyDescent="0.3">
      <c r="A106" s="2">
        <v>2020034</v>
      </c>
      <c r="B106" s="24" t="s">
        <v>340</v>
      </c>
      <c r="C106" s="1" t="s">
        <v>1505</v>
      </c>
      <c r="D106" s="10" t="s">
        <v>1506</v>
      </c>
      <c r="E106" s="10" t="s">
        <v>1507</v>
      </c>
      <c r="F106" s="10">
        <v>3737765</v>
      </c>
      <c r="G106" s="10" t="s">
        <v>1508</v>
      </c>
      <c r="H106" s="10">
        <v>2</v>
      </c>
      <c r="I106" s="10">
        <v>1646</v>
      </c>
      <c r="J106" s="10">
        <v>728</v>
      </c>
      <c r="K106" s="22"/>
      <c r="L106" s="24" t="s">
        <v>156</v>
      </c>
      <c r="M106" s="236">
        <f t="shared" si="1"/>
        <v>2020034</v>
      </c>
    </row>
    <row r="107" spans="1:13" x14ac:dyDescent="0.3">
      <c r="A107" s="64">
        <v>2018106</v>
      </c>
      <c r="B107" s="24" t="s">
        <v>1814</v>
      </c>
      <c r="C107" s="1" t="s">
        <v>1813</v>
      </c>
      <c r="D107" s="10" t="s">
        <v>678</v>
      </c>
      <c r="E107" s="10" t="s">
        <v>647</v>
      </c>
      <c r="F107" s="10">
        <v>4475923</v>
      </c>
      <c r="G107" s="10" t="s">
        <v>679</v>
      </c>
      <c r="H107" s="10"/>
      <c r="I107" s="10">
        <v>823</v>
      </c>
      <c r="J107" s="10">
        <v>364</v>
      </c>
      <c r="K107" s="21"/>
      <c r="L107" s="24" t="s">
        <v>1135</v>
      </c>
      <c r="M107" s="236">
        <f t="shared" si="1"/>
        <v>2018106</v>
      </c>
    </row>
    <row r="108" spans="1:13" x14ac:dyDescent="0.3">
      <c r="A108" s="2">
        <v>2020060</v>
      </c>
      <c r="B108" s="24" t="s">
        <v>1414</v>
      </c>
      <c r="C108" s="1" t="s">
        <v>1777</v>
      </c>
      <c r="D108" s="10" t="s">
        <v>1778</v>
      </c>
      <c r="E108" s="10" t="s">
        <v>1779</v>
      </c>
      <c r="F108" s="10">
        <v>5204911012</v>
      </c>
      <c r="G108" s="10" t="s">
        <v>1780</v>
      </c>
      <c r="H108" s="10">
        <v>0</v>
      </c>
      <c r="I108" s="10">
        <v>823</v>
      </c>
      <c r="J108" s="10">
        <v>364</v>
      </c>
      <c r="K108" s="22"/>
      <c r="L108" s="24" t="s">
        <v>211</v>
      </c>
      <c r="M108" s="236">
        <f t="shared" si="1"/>
        <v>2020060</v>
      </c>
    </row>
    <row r="109" spans="1:13" x14ac:dyDescent="0.3">
      <c r="A109" s="64">
        <v>2018411</v>
      </c>
      <c r="B109" s="24" t="s">
        <v>201</v>
      </c>
      <c r="C109" s="1" t="s">
        <v>875</v>
      </c>
      <c r="D109" s="10" t="s">
        <v>1462</v>
      </c>
      <c r="E109" s="10" t="s">
        <v>877</v>
      </c>
      <c r="F109" s="10">
        <v>6448949</v>
      </c>
      <c r="G109" s="10" t="s">
        <v>1463</v>
      </c>
      <c r="H109" s="27" t="s">
        <v>715</v>
      </c>
      <c r="I109" s="10">
        <v>823</v>
      </c>
      <c r="J109" s="10">
        <v>364</v>
      </c>
      <c r="K109" s="21">
        <v>43483</v>
      </c>
      <c r="L109" s="24" t="s">
        <v>211</v>
      </c>
      <c r="M109" s="236">
        <f t="shared" si="1"/>
        <v>2018411</v>
      </c>
    </row>
    <row r="110" spans="1:13" x14ac:dyDescent="0.3">
      <c r="A110" s="64">
        <v>2018107</v>
      </c>
      <c r="B110" s="24" t="s">
        <v>1320</v>
      </c>
      <c r="C110" s="1" t="s">
        <v>1321</v>
      </c>
      <c r="D110" s="10" t="s">
        <v>582</v>
      </c>
      <c r="E110" s="10" t="s">
        <v>583</v>
      </c>
      <c r="F110" s="10">
        <v>4476500</v>
      </c>
      <c r="G110" s="10" t="s">
        <v>584</v>
      </c>
      <c r="H110" s="27" t="s">
        <v>715</v>
      </c>
      <c r="I110" s="27" t="s">
        <v>715</v>
      </c>
      <c r="J110" s="27" t="s">
        <v>715</v>
      </c>
      <c r="K110" s="21">
        <v>43482</v>
      </c>
      <c r="L110" s="24" t="s">
        <v>512</v>
      </c>
      <c r="M110" s="236">
        <f t="shared" si="1"/>
        <v>2018107</v>
      </c>
    </row>
    <row r="111" spans="1:13" x14ac:dyDescent="0.3">
      <c r="A111" s="2">
        <v>2018429</v>
      </c>
      <c r="B111" s="24" t="s">
        <v>1745</v>
      </c>
      <c r="C111" s="1" t="s">
        <v>1039</v>
      </c>
      <c r="D111" s="10" t="s">
        <v>1040</v>
      </c>
      <c r="E111" s="10" t="s">
        <v>1041</v>
      </c>
      <c r="F111" s="10">
        <v>3589380</v>
      </c>
      <c r="G111" s="10" t="s">
        <v>1042</v>
      </c>
      <c r="H111" s="27" t="s">
        <v>715</v>
      </c>
      <c r="I111" s="10">
        <v>823</v>
      </c>
      <c r="J111" s="10">
        <v>364</v>
      </c>
      <c r="K111" s="21"/>
      <c r="L111" s="24" t="s">
        <v>156</v>
      </c>
      <c r="M111" s="236">
        <f t="shared" si="1"/>
        <v>2018429</v>
      </c>
    </row>
    <row r="112" spans="1:13" x14ac:dyDescent="0.3">
      <c r="A112" s="2">
        <v>2018279</v>
      </c>
      <c r="B112" s="24" t="s">
        <v>432</v>
      </c>
      <c r="C112" s="1" t="s">
        <v>433</v>
      </c>
      <c r="D112" s="10" t="s">
        <v>434</v>
      </c>
      <c r="E112" s="10" t="s">
        <v>435</v>
      </c>
      <c r="F112" s="10">
        <v>3790438</v>
      </c>
      <c r="G112" s="10" t="s">
        <v>436</v>
      </c>
      <c r="H112" s="10">
        <v>2</v>
      </c>
      <c r="I112" s="10" t="s">
        <v>279</v>
      </c>
      <c r="J112" s="10" t="s">
        <v>437</v>
      </c>
      <c r="K112" s="21">
        <v>43481</v>
      </c>
      <c r="L112" s="24" t="s">
        <v>157</v>
      </c>
      <c r="M112" s="236">
        <f t="shared" si="1"/>
        <v>2018279</v>
      </c>
    </row>
    <row r="113" spans="1:13" x14ac:dyDescent="0.3">
      <c r="A113" s="2">
        <v>2018060</v>
      </c>
      <c r="B113" s="24" t="s">
        <v>605</v>
      </c>
      <c r="C113" s="1" t="s">
        <v>606</v>
      </c>
      <c r="D113" s="10" t="s">
        <v>607</v>
      </c>
      <c r="E113" s="10" t="s">
        <v>608</v>
      </c>
      <c r="F113" s="10">
        <v>5224119</v>
      </c>
      <c r="G113" s="10" t="s">
        <v>609</v>
      </c>
      <c r="H113" s="10">
        <v>2</v>
      </c>
      <c r="I113" s="10" t="s">
        <v>252</v>
      </c>
      <c r="J113" s="10" t="s">
        <v>252</v>
      </c>
      <c r="K113" s="21">
        <v>43482</v>
      </c>
      <c r="L113" s="24" t="s">
        <v>156</v>
      </c>
      <c r="M113" s="236">
        <f t="shared" si="1"/>
        <v>2018060</v>
      </c>
    </row>
    <row r="114" spans="1:13" x14ac:dyDescent="0.3">
      <c r="A114" s="64">
        <v>2018108</v>
      </c>
      <c r="B114" s="24" t="s">
        <v>1647</v>
      </c>
      <c r="C114" s="1" t="s">
        <v>1648</v>
      </c>
      <c r="D114" s="10" t="s">
        <v>607</v>
      </c>
      <c r="E114" s="10" t="s">
        <v>608</v>
      </c>
      <c r="F114" s="10">
        <v>5224119</v>
      </c>
      <c r="G114" s="10" t="s">
        <v>609</v>
      </c>
      <c r="H114" s="10">
        <v>2</v>
      </c>
      <c r="I114" s="10">
        <v>1646</v>
      </c>
      <c r="J114" s="10">
        <v>728</v>
      </c>
      <c r="K114" s="21">
        <v>43480</v>
      </c>
      <c r="L114" s="24" t="s">
        <v>156</v>
      </c>
      <c r="M114" s="236">
        <f t="shared" si="1"/>
        <v>2018108</v>
      </c>
    </row>
    <row r="115" spans="1:13" x14ac:dyDescent="0.3">
      <c r="A115" s="2">
        <v>2018448</v>
      </c>
      <c r="B115" s="24" t="s">
        <v>130</v>
      </c>
      <c r="C115" s="1" t="s">
        <v>1126</v>
      </c>
      <c r="D115" s="10" t="s">
        <v>1127</v>
      </c>
      <c r="E115" s="10" t="s">
        <v>1128</v>
      </c>
      <c r="F115" s="10">
        <v>2895210018</v>
      </c>
      <c r="G115" s="10" t="s">
        <v>1129</v>
      </c>
      <c r="H115" s="27" t="s">
        <v>715</v>
      </c>
      <c r="I115" s="10">
        <v>807</v>
      </c>
      <c r="J115" s="10">
        <v>598</v>
      </c>
      <c r="K115" s="22" t="s">
        <v>1130</v>
      </c>
      <c r="L115" s="24" t="s">
        <v>157</v>
      </c>
      <c r="M115" s="236">
        <f t="shared" si="1"/>
        <v>2018448</v>
      </c>
    </row>
    <row r="116" spans="1:13" x14ac:dyDescent="0.3">
      <c r="A116" s="2">
        <v>2018421</v>
      </c>
      <c r="B116" s="24" t="s">
        <v>340</v>
      </c>
      <c r="C116" s="1" t="s">
        <v>986</v>
      </c>
      <c r="D116" s="10" t="s">
        <v>1539</v>
      </c>
      <c r="E116" s="10" t="s">
        <v>987</v>
      </c>
      <c r="F116" s="10">
        <v>5212410</v>
      </c>
      <c r="G116" s="10" t="s">
        <v>988</v>
      </c>
      <c r="H116" s="27" t="s">
        <v>715</v>
      </c>
      <c r="I116" s="10">
        <v>823</v>
      </c>
      <c r="J116" s="10">
        <v>364</v>
      </c>
      <c r="K116" s="21">
        <v>43483</v>
      </c>
      <c r="L116" s="24" t="s">
        <v>156</v>
      </c>
      <c r="M116" s="236">
        <f t="shared" si="1"/>
        <v>2018421</v>
      </c>
    </row>
    <row r="117" spans="1:13" x14ac:dyDescent="0.3">
      <c r="A117" s="2">
        <v>2018362</v>
      </c>
      <c r="B117" s="24" t="s">
        <v>216</v>
      </c>
      <c r="C117" s="1" t="s">
        <v>369</v>
      </c>
      <c r="D117" s="10" t="s">
        <v>370</v>
      </c>
      <c r="E117" s="10" t="s">
        <v>252</v>
      </c>
      <c r="F117" s="10" t="s">
        <v>252</v>
      </c>
      <c r="G117" s="10" t="s">
        <v>371</v>
      </c>
      <c r="H117" s="10"/>
      <c r="I117" s="10">
        <v>807</v>
      </c>
      <c r="J117" s="10">
        <v>357</v>
      </c>
      <c r="K117" s="21">
        <v>43480</v>
      </c>
      <c r="L117" s="24" t="s">
        <v>211</v>
      </c>
      <c r="M117" s="236">
        <f t="shared" si="1"/>
        <v>2018362</v>
      </c>
    </row>
    <row r="118" spans="1:13" x14ac:dyDescent="0.3">
      <c r="A118" s="64">
        <v>2018280</v>
      </c>
      <c r="B118" s="24" t="s">
        <v>116</v>
      </c>
      <c r="C118" s="1" t="s">
        <v>107</v>
      </c>
      <c r="D118" s="10" t="s">
        <v>1593</v>
      </c>
      <c r="E118" s="10" t="s">
        <v>1594</v>
      </c>
      <c r="F118" s="10">
        <v>3538346</v>
      </c>
      <c r="G118" s="10" t="s">
        <v>1595</v>
      </c>
      <c r="H118" s="27" t="s">
        <v>715</v>
      </c>
      <c r="I118" s="10">
        <v>823</v>
      </c>
      <c r="J118" s="10">
        <v>610</v>
      </c>
      <c r="K118" s="21" t="s">
        <v>760</v>
      </c>
      <c r="L118" s="24" t="s">
        <v>157</v>
      </c>
      <c r="M118" s="236">
        <f t="shared" si="1"/>
        <v>2018280</v>
      </c>
    </row>
    <row r="119" spans="1:13" x14ac:dyDescent="0.3">
      <c r="A119" s="2">
        <v>2018061</v>
      </c>
      <c r="B119" s="24" t="s">
        <v>53</v>
      </c>
      <c r="C119" s="1" t="s">
        <v>32</v>
      </c>
      <c r="D119" s="10"/>
      <c r="E119" s="10"/>
      <c r="F119" s="10"/>
      <c r="G119" s="10"/>
      <c r="H119" s="10"/>
      <c r="I119" s="10"/>
      <c r="J119" s="10"/>
      <c r="K119" s="21"/>
      <c r="L119" s="24" t="s">
        <v>156</v>
      </c>
      <c r="M119" s="236">
        <f t="shared" si="1"/>
        <v>2018061</v>
      </c>
    </row>
    <row r="120" spans="1:13" x14ac:dyDescent="0.3">
      <c r="A120" s="64">
        <v>2018007</v>
      </c>
      <c r="B120" s="24" t="s">
        <v>1461</v>
      </c>
      <c r="C120" s="1" t="s">
        <v>245</v>
      </c>
      <c r="D120" s="10" t="s">
        <v>242</v>
      </c>
      <c r="E120" s="10" t="s">
        <v>244</v>
      </c>
      <c r="F120" s="10">
        <v>4500215</v>
      </c>
      <c r="G120" s="10" t="s">
        <v>243</v>
      </c>
      <c r="H120" s="10">
        <v>2</v>
      </c>
      <c r="I120" s="27" t="s">
        <v>715</v>
      </c>
      <c r="J120" s="27" t="s">
        <v>715</v>
      </c>
      <c r="K120" s="21">
        <v>43479</v>
      </c>
      <c r="L120" s="24" t="s">
        <v>246</v>
      </c>
      <c r="M120" s="236">
        <f t="shared" si="1"/>
        <v>2018007</v>
      </c>
    </row>
    <row r="121" spans="1:13" x14ac:dyDescent="0.3">
      <c r="A121" s="2">
        <v>2018087</v>
      </c>
      <c r="B121" s="24" t="s">
        <v>58</v>
      </c>
      <c r="C121" s="1" t="s">
        <v>47</v>
      </c>
      <c r="D121" s="10" t="s">
        <v>1113</v>
      </c>
      <c r="E121" s="27" t="s">
        <v>715</v>
      </c>
      <c r="F121" s="27" t="s">
        <v>715</v>
      </c>
      <c r="G121" s="10" t="s">
        <v>1114</v>
      </c>
      <c r="H121" s="27" t="s">
        <v>715</v>
      </c>
      <c r="I121" s="10">
        <v>807</v>
      </c>
      <c r="J121" s="10">
        <v>357</v>
      </c>
      <c r="K121" s="21">
        <v>43480</v>
      </c>
      <c r="L121" s="24" t="s">
        <v>156</v>
      </c>
      <c r="M121" s="236">
        <f t="shared" si="1"/>
        <v>2018087</v>
      </c>
    </row>
    <row r="122" spans="1:13" x14ac:dyDescent="0.3">
      <c r="A122" s="2">
        <v>2020067</v>
      </c>
      <c r="B122" s="24" t="s">
        <v>1829</v>
      </c>
      <c r="C122" s="1" t="s">
        <v>1830</v>
      </c>
      <c r="D122" s="10" t="s">
        <v>1831</v>
      </c>
      <c r="E122" s="10" t="s">
        <v>748</v>
      </c>
      <c r="F122" s="10" t="s">
        <v>748</v>
      </c>
      <c r="G122" s="10" t="s">
        <v>1832</v>
      </c>
      <c r="H122" s="10">
        <v>3</v>
      </c>
      <c r="I122" s="10">
        <v>1646</v>
      </c>
      <c r="J122" s="10"/>
      <c r="K122" s="22"/>
      <c r="L122" s="24" t="s">
        <v>910</v>
      </c>
      <c r="M122" s="236">
        <f t="shared" si="1"/>
        <v>2020067</v>
      </c>
    </row>
    <row r="123" spans="1:13" x14ac:dyDescent="0.3">
      <c r="A123" s="2">
        <v>2018109</v>
      </c>
      <c r="B123" s="24" t="s">
        <v>67</v>
      </c>
      <c r="C123" s="1" t="s">
        <v>708</v>
      </c>
      <c r="D123" s="10" t="s">
        <v>709</v>
      </c>
      <c r="E123" s="10" t="s">
        <v>710</v>
      </c>
      <c r="F123" s="10">
        <v>5256647016</v>
      </c>
      <c r="G123" s="10" t="s">
        <v>711</v>
      </c>
      <c r="H123" s="10"/>
      <c r="I123" s="10">
        <v>807</v>
      </c>
      <c r="J123" s="10">
        <v>357</v>
      </c>
      <c r="K123" s="21">
        <v>43483</v>
      </c>
      <c r="L123" s="24" t="s">
        <v>156</v>
      </c>
      <c r="M123" s="236">
        <f t="shared" si="1"/>
        <v>2018109</v>
      </c>
    </row>
    <row r="124" spans="1:13" x14ac:dyDescent="0.3">
      <c r="A124" s="64">
        <v>2018153</v>
      </c>
      <c r="B124" s="24" t="s">
        <v>1934</v>
      </c>
      <c r="C124" s="1" t="s">
        <v>1933</v>
      </c>
      <c r="D124" s="10" t="s">
        <v>866</v>
      </c>
      <c r="E124" s="27" t="s">
        <v>715</v>
      </c>
      <c r="F124" s="27" t="s">
        <v>715</v>
      </c>
      <c r="G124" s="10" t="s">
        <v>867</v>
      </c>
      <c r="H124" s="27" t="s">
        <v>715</v>
      </c>
      <c r="I124" s="10">
        <v>4646</v>
      </c>
      <c r="J124" s="10">
        <v>357</v>
      </c>
      <c r="K124" s="21">
        <v>43483</v>
      </c>
      <c r="L124" s="24" t="s">
        <v>156</v>
      </c>
      <c r="M124" s="236">
        <f t="shared" si="1"/>
        <v>2018153</v>
      </c>
    </row>
    <row r="125" spans="1:13" x14ac:dyDescent="0.3">
      <c r="A125" s="2">
        <v>2018309</v>
      </c>
      <c r="B125" s="24" t="s">
        <v>130</v>
      </c>
      <c r="C125" s="1" t="s">
        <v>968</v>
      </c>
      <c r="D125" s="10" t="s">
        <v>969</v>
      </c>
      <c r="E125" s="27" t="s">
        <v>715</v>
      </c>
      <c r="F125" s="27" t="s">
        <v>715</v>
      </c>
      <c r="G125" s="10" t="s">
        <v>1714</v>
      </c>
      <c r="H125" s="27" t="s">
        <v>715</v>
      </c>
      <c r="I125" s="27" t="s">
        <v>715</v>
      </c>
      <c r="J125" s="27" t="s">
        <v>715</v>
      </c>
      <c r="K125" s="21">
        <v>43483</v>
      </c>
      <c r="L125" s="24" t="s">
        <v>157</v>
      </c>
      <c r="M125" s="236">
        <f t="shared" si="1"/>
        <v>2018309</v>
      </c>
    </row>
    <row r="126" spans="1:13" x14ac:dyDescent="0.3">
      <c r="A126" s="2">
        <v>2018248</v>
      </c>
      <c r="B126" s="24" t="s">
        <v>1315</v>
      </c>
      <c r="C126" s="1" t="s">
        <v>821</v>
      </c>
      <c r="D126" s="10" t="s">
        <v>822</v>
      </c>
      <c r="E126" s="27" t="s">
        <v>1316</v>
      </c>
      <c r="F126" s="27">
        <v>5185715</v>
      </c>
      <c r="G126" s="10" t="s">
        <v>1317</v>
      </c>
      <c r="H126" s="10">
        <v>3</v>
      </c>
      <c r="I126" s="27" t="s">
        <v>715</v>
      </c>
      <c r="J126" s="27" t="s">
        <v>715</v>
      </c>
      <c r="K126" s="21">
        <v>43483</v>
      </c>
      <c r="L126" s="24" t="s">
        <v>280</v>
      </c>
      <c r="M126" s="236">
        <f t="shared" si="1"/>
        <v>2018248</v>
      </c>
    </row>
    <row r="127" spans="1:13" x14ac:dyDescent="0.3">
      <c r="A127" s="2">
        <v>2020040</v>
      </c>
      <c r="B127" s="24" t="s">
        <v>340</v>
      </c>
      <c r="C127" s="1" t="s">
        <v>1582</v>
      </c>
      <c r="D127" s="10" t="s">
        <v>1584</v>
      </c>
      <c r="E127" s="10" t="s">
        <v>1585</v>
      </c>
      <c r="F127" s="10">
        <v>4525659</v>
      </c>
      <c r="G127" s="10" t="s">
        <v>1583</v>
      </c>
      <c r="H127" s="27" t="s">
        <v>715</v>
      </c>
      <c r="I127" s="10">
        <v>823</v>
      </c>
      <c r="J127" s="10">
        <v>364</v>
      </c>
      <c r="K127" s="22"/>
      <c r="L127" s="24" t="s">
        <v>156</v>
      </c>
      <c r="M127" s="236">
        <f t="shared" si="1"/>
        <v>2020040</v>
      </c>
    </row>
    <row r="128" spans="1:13" x14ac:dyDescent="0.3">
      <c r="A128" s="2">
        <v>2018348</v>
      </c>
      <c r="B128" s="24" t="s">
        <v>216</v>
      </c>
      <c r="C128" s="1" t="s">
        <v>302</v>
      </c>
      <c r="D128" s="10" t="s">
        <v>303</v>
      </c>
      <c r="E128" s="10" t="s">
        <v>304</v>
      </c>
      <c r="F128" s="10">
        <v>3744301</v>
      </c>
      <c r="G128" s="10" t="s">
        <v>305</v>
      </c>
      <c r="H128" s="10"/>
      <c r="I128" s="10">
        <v>807</v>
      </c>
      <c r="J128" s="10">
        <v>357</v>
      </c>
      <c r="K128" s="21">
        <v>43480</v>
      </c>
      <c r="L128" s="24" t="s">
        <v>211</v>
      </c>
      <c r="M128" s="236">
        <f t="shared" si="1"/>
        <v>2018348</v>
      </c>
    </row>
    <row r="129" spans="1:13" x14ac:dyDescent="0.3">
      <c r="A129" s="2">
        <v>2018008</v>
      </c>
      <c r="B129" s="24" t="s">
        <v>53</v>
      </c>
      <c r="C129" s="1" t="s">
        <v>2</v>
      </c>
      <c r="D129" s="10" t="s">
        <v>508</v>
      </c>
      <c r="E129" s="27" t="s">
        <v>338</v>
      </c>
      <c r="F129" s="27">
        <v>5921133</v>
      </c>
      <c r="G129" s="10" t="s">
        <v>804</v>
      </c>
      <c r="H129" s="27" t="s">
        <v>715</v>
      </c>
      <c r="I129" s="10">
        <v>823</v>
      </c>
      <c r="J129" s="10">
        <v>364</v>
      </c>
      <c r="K129" s="21"/>
      <c r="L129" s="24" t="s">
        <v>156</v>
      </c>
      <c r="M129" s="236">
        <f t="shared" si="1"/>
        <v>2018008</v>
      </c>
    </row>
    <row r="130" spans="1:13" x14ac:dyDescent="0.3">
      <c r="A130" s="2">
        <v>2018009</v>
      </c>
      <c r="B130" s="24" t="s">
        <v>53</v>
      </c>
      <c r="C130" s="1" t="s">
        <v>3</v>
      </c>
      <c r="D130" s="10" t="s">
        <v>438</v>
      </c>
      <c r="E130" s="10" t="s">
        <v>252</v>
      </c>
      <c r="F130" s="10" t="s">
        <v>252</v>
      </c>
      <c r="G130" s="10" t="s">
        <v>439</v>
      </c>
      <c r="H130" s="10"/>
      <c r="I130" s="10">
        <v>823</v>
      </c>
      <c r="J130" s="10">
        <v>364</v>
      </c>
      <c r="K130" s="21"/>
      <c r="L130" s="24" t="s">
        <v>156</v>
      </c>
      <c r="M130" s="236">
        <f t="shared" si="1"/>
        <v>2018009</v>
      </c>
    </row>
    <row r="131" spans="1:13" x14ac:dyDescent="0.3">
      <c r="A131" s="2">
        <v>2018062</v>
      </c>
      <c r="B131" s="24" t="s">
        <v>67</v>
      </c>
      <c r="C131" s="1" t="s">
        <v>33</v>
      </c>
      <c r="D131" s="10" t="s">
        <v>333</v>
      </c>
      <c r="E131" s="10" t="s">
        <v>335</v>
      </c>
      <c r="F131" s="10">
        <v>2891340</v>
      </c>
      <c r="G131" s="10" t="s">
        <v>334</v>
      </c>
      <c r="H131" s="10"/>
      <c r="I131" s="10">
        <v>839</v>
      </c>
      <c r="J131" s="10">
        <v>371</v>
      </c>
      <c r="K131" s="21">
        <v>43480</v>
      </c>
      <c r="L131" s="24" t="s">
        <v>156</v>
      </c>
      <c r="M131" s="236">
        <f t="shared" ref="M131:M194" si="2">A131</f>
        <v>2018062</v>
      </c>
    </row>
    <row r="132" spans="1:13" x14ac:dyDescent="0.3">
      <c r="A132" s="2">
        <v>2018194</v>
      </c>
      <c r="B132" s="58" t="s">
        <v>1803</v>
      </c>
      <c r="C132" s="1" t="s">
        <v>77</v>
      </c>
      <c r="D132" s="10" t="s">
        <v>913</v>
      </c>
      <c r="E132" s="10" t="s">
        <v>205</v>
      </c>
      <c r="F132" s="10">
        <v>4460002</v>
      </c>
      <c r="G132" s="10">
        <v>7748864</v>
      </c>
      <c r="H132" s="10"/>
      <c r="I132" s="10">
        <v>823</v>
      </c>
      <c r="J132" s="10">
        <v>610</v>
      </c>
      <c r="K132" s="21"/>
      <c r="L132" s="24" t="s">
        <v>157</v>
      </c>
      <c r="M132" s="236">
        <f t="shared" si="2"/>
        <v>2018194</v>
      </c>
    </row>
    <row r="133" spans="1:13" x14ac:dyDescent="0.3">
      <c r="A133" s="2">
        <v>2018400</v>
      </c>
      <c r="B133" s="24" t="s">
        <v>201</v>
      </c>
      <c r="C133" s="1" t="s">
        <v>767</v>
      </c>
      <c r="D133" s="10" t="s">
        <v>1689</v>
      </c>
      <c r="E133" s="27" t="s">
        <v>1690</v>
      </c>
      <c r="F133" s="27">
        <v>2021827</v>
      </c>
      <c r="G133" s="10" t="s">
        <v>1691</v>
      </c>
      <c r="H133" s="10"/>
      <c r="I133" s="10">
        <v>823</v>
      </c>
      <c r="J133" s="10">
        <v>364</v>
      </c>
      <c r="K133" s="21">
        <v>43481</v>
      </c>
      <c r="L133" s="24" t="s">
        <v>211</v>
      </c>
      <c r="M133" s="236">
        <f t="shared" si="2"/>
        <v>2018400</v>
      </c>
    </row>
    <row r="134" spans="1:13" x14ac:dyDescent="0.3">
      <c r="A134" s="2">
        <v>2018407</v>
      </c>
      <c r="B134" s="24" t="s">
        <v>408</v>
      </c>
      <c r="C134" s="1" t="s">
        <v>825</v>
      </c>
      <c r="D134" s="10" t="s">
        <v>826</v>
      </c>
      <c r="E134" s="27" t="s">
        <v>715</v>
      </c>
      <c r="F134" s="27" t="s">
        <v>715</v>
      </c>
      <c r="G134" s="10" t="s">
        <v>827</v>
      </c>
      <c r="H134" s="10">
        <v>2</v>
      </c>
      <c r="I134" s="10" t="s">
        <v>279</v>
      </c>
      <c r="J134" s="10">
        <v>955</v>
      </c>
      <c r="K134" s="21">
        <v>43483</v>
      </c>
      <c r="L134" s="24" t="s">
        <v>280</v>
      </c>
      <c r="M134" s="236">
        <f t="shared" si="2"/>
        <v>2018407</v>
      </c>
    </row>
    <row r="135" spans="1:13" x14ac:dyDescent="0.3">
      <c r="A135" s="2">
        <v>2020014</v>
      </c>
      <c r="B135" s="24" t="s">
        <v>454</v>
      </c>
      <c r="C135" s="1" t="s">
        <v>1357</v>
      </c>
      <c r="D135" s="10" t="s">
        <v>1358</v>
      </c>
      <c r="E135" s="10" t="s">
        <v>1359</v>
      </c>
      <c r="F135" s="10">
        <v>4257907</v>
      </c>
      <c r="G135" s="10" t="s">
        <v>1360</v>
      </c>
      <c r="H135" s="27" t="s">
        <v>715</v>
      </c>
      <c r="I135" s="10">
        <v>839</v>
      </c>
      <c r="J135" s="10">
        <v>371</v>
      </c>
      <c r="K135" s="22"/>
      <c r="L135" s="24" t="s">
        <v>156</v>
      </c>
      <c r="M135" s="236">
        <f t="shared" si="2"/>
        <v>2020014</v>
      </c>
    </row>
    <row r="136" spans="1:13" x14ac:dyDescent="0.3">
      <c r="A136" s="2">
        <v>2020084</v>
      </c>
      <c r="B136" s="24" t="s">
        <v>1915</v>
      </c>
      <c r="C136" s="1" t="s">
        <v>1916</v>
      </c>
      <c r="D136" s="10" t="s">
        <v>1918</v>
      </c>
      <c r="E136" s="10" t="s">
        <v>1917</v>
      </c>
      <c r="F136" s="10">
        <v>4492724012</v>
      </c>
      <c r="G136" s="10" t="s">
        <v>1919</v>
      </c>
      <c r="H136" s="10">
        <v>0</v>
      </c>
      <c r="I136" s="10">
        <v>823</v>
      </c>
      <c r="J136" s="10">
        <v>364</v>
      </c>
      <c r="K136" s="22"/>
      <c r="L136" s="24" t="s">
        <v>1920</v>
      </c>
      <c r="M136" s="236">
        <f t="shared" si="2"/>
        <v>2020084</v>
      </c>
    </row>
    <row r="137" spans="1:13" x14ac:dyDescent="0.3">
      <c r="A137" s="2">
        <v>2018461</v>
      </c>
      <c r="B137" s="24" t="s">
        <v>1186</v>
      </c>
      <c r="C137" s="1" t="s">
        <v>1187</v>
      </c>
      <c r="D137" s="10" t="s">
        <v>1188</v>
      </c>
      <c r="E137" s="10" t="s">
        <v>1189</v>
      </c>
      <c r="F137" s="10">
        <v>2889310</v>
      </c>
      <c r="G137" s="10" t="s">
        <v>1190</v>
      </c>
      <c r="H137" s="10">
        <v>0</v>
      </c>
      <c r="I137" s="10">
        <v>807</v>
      </c>
      <c r="J137" s="10">
        <v>598</v>
      </c>
      <c r="K137" s="22" t="s">
        <v>1191</v>
      </c>
      <c r="L137" s="24" t="s">
        <v>157</v>
      </c>
      <c r="M137" s="236">
        <f t="shared" si="2"/>
        <v>2018461</v>
      </c>
    </row>
    <row r="138" spans="1:13" x14ac:dyDescent="0.3">
      <c r="A138" s="2">
        <v>2018351</v>
      </c>
      <c r="B138" s="24" t="s">
        <v>454</v>
      </c>
      <c r="C138" s="1" t="s">
        <v>318</v>
      </c>
      <c r="D138" s="10" t="s">
        <v>319</v>
      </c>
      <c r="E138" s="10" t="s">
        <v>320</v>
      </c>
      <c r="F138" s="10">
        <v>3732760</v>
      </c>
      <c r="G138" s="10" t="s">
        <v>321</v>
      </c>
      <c r="H138" s="10"/>
      <c r="I138" s="10">
        <v>823</v>
      </c>
      <c r="J138" s="10">
        <v>364</v>
      </c>
      <c r="K138" s="21"/>
      <c r="L138" s="24" t="s">
        <v>156</v>
      </c>
      <c r="M138" s="236">
        <f t="shared" si="2"/>
        <v>2018351</v>
      </c>
    </row>
    <row r="139" spans="1:13" x14ac:dyDescent="0.3">
      <c r="A139" s="2">
        <v>2018349</v>
      </c>
      <c r="B139" s="24" t="s">
        <v>1517</v>
      </c>
      <c r="C139" s="1" t="s">
        <v>310</v>
      </c>
      <c r="D139" s="10" t="s">
        <v>311</v>
      </c>
      <c r="E139" s="10" t="s">
        <v>1518</v>
      </c>
      <c r="F139" s="10">
        <v>3728133</v>
      </c>
      <c r="G139" s="10" t="s">
        <v>312</v>
      </c>
      <c r="H139" s="27" t="s">
        <v>715</v>
      </c>
      <c r="I139" s="10" t="s">
        <v>1447</v>
      </c>
      <c r="J139" s="10" t="s">
        <v>1448</v>
      </c>
      <c r="K139" s="21">
        <v>43480</v>
      </c>
      <c r="L139" s="24" t="s">
        <v>568</v>
      </c>
      <c r="M139" s="236">
        <f t="shared" si="2"/>
        <v>2018349</v>
      </c>
    </row>
    <row r="140" spans="1:13" x14ac:dyDescent="0.3">
      <c r="A140" s="2">
        <v>2018228</v>
      </c>
      <c r="B140" s="24" t="s">
        <v>1246</v>
      </c>
      <c r="C140" s="1" t="s">
        <v>87</v>
      </c>
      <c r="D140" s="10" t="s">
        <v>633</v>
      </c>
      <c r="E140" s="10" t="s">
        <v>252</v>
      </c>
      <c r="F140" s="10" t="s">
        <v>252</v>
      </c>
      <c r="G140" s="10" t="s">
        <v>634</v>
      </c>
      <c r="H140" s="10"/>
      <c r="I140" s="10">
        <v>0</v>
      </c>
      <c r="J140" s="10">
        <v>0</v>
      </c>
      <c r="K140" s="21">
        <v>43482</v>
      </c>
      <c r="L140" s="24" t="s">
        <v>157</v>
      </c>
      <c r="M140" s="236">
        <f t="shared" si="2"/>
        <v>2018228</v>
      </c>
    </row>
    <row r="141" spans="1:13" x14ac:dyDescent="0.3">
      <c r="A141" s="2">
        <v>2020051</v>
      </c>
      <c r="B141" s="24" t="s">
        <v>1718</v>
      </c>
      <c r="C141" s="1" t="s">
        <v>1717</v>
      </c>
      <c r="D141" s="10" t="s">
        <v>1719</v>
      </c>
      <c r="E141" s="10" t="s">
        <v>1720</v>
      </c>
      <c r="F141" s="10">
        <v>3769053011</v>
      </c>
      <c r="G141" s="10" t="s">
        <v>1721</v>
      </c>
      <c r="H141" s="10">
        <v>2</v>
      </c>
      <c r="I141" s="10">
        <v>1646</v>
      </c>
      <c r="J141" s="10">
        <v>728</v>
      </c>
      <c r="K141" s="22"/>
      <c r="L141" s="24" t="s">
        <v>1135</v>
      </c>
      <c r="M141" s="236">
        <f t="shared" si="2"/>
        <v>2020051</v>
      </c>
    </row>
    <row r="142" spans="1:13" x14ac:dyDescent="0.3">
      <c r="A142" s="2">
        <v>2018063</v>
      </c>
      <c r="B142" s="24" t="s">
        <v>53</v>
      </c>
      <c r="C142" s="1" t="s">
        <v>34</v>
      </c>
      <c r="D142" s="10" t="s">
        <v>686</v>
      </c>
      <c r="E142" s="10" t="s">
        <v>252</v>
      </c>
      <c r="F142" s="10" t="s">
        <v>252</v>
      </c>
      <c r="G142" s="10" t="s">
        <v>687</v>
      </c>
      <c r="H142" s="10"/>
      <c r="I142" s="10">
        <v>839</v>
      </c>
      <c r="J142" s="10">
        <v>371</v>
      </c>
      <c r="K142" s="21" t="s">
        <v>1271</v>
      </c>
      <c r="L142" s="24" t="s">
        <v>156</v>
      </c>
      <c r="M142" s="236">
        <f t="shared" si="2"/>
        <v>2018063</v>
      </c>
    </row>
    <row r="143" spans="1:13" x14ac:dyDescent="0.3">
      <c r="A143" s="2">
        <v>2018414</v>
      </c>
      <c r="B143" s="24" t="s">
        <v>125</v>
      </c>
      <c r="C143" s="1" t="s">
        <v>899</v>
      </c>
      <c r="D143" s="10" t="s">
        <v>900</v>
      </c>
      <c r="E143" s="10" t="s">
        <v>338</v>
      </c>
      <c r="F143" s="10">
        <v>3987552</v>
      </c>
      <c r="G143" s="10" t="s">
        <v>901</v>
      </c>
      <c r="H143" s="27" t="s">
        <v>715</v>
      </c>
      <c r="I143" s="10">
        <v>823</v>
      </c>
      <c r="J143" s="10">
        <v>364</v>
      </c>
      <c r="K143" s="21"/>
      <c r="L143" s="24" t="s">
        <v>157</v>
      </c>
      <c r="M143" s="236">
        <f t="shared" si="2"/>
        <v>2018414</v>
      </c>
    </row>
    <row r="144" spans="1:13" x14ac:dyDescent="0.3">
      <c r="A144" s="2">
        <v>2020056</v>
      </c>
      <c r="B144" s="24" t="s">
        <v>989</v>
      </c>
      <c r="C144" s="1" t="s">
        <v>1746</v>
      </c>
      <c r="D144" s="10" t="s">
        <v>1747</v>
      </c>
      <c r="E144" s="10" t="s">
        <v>1720</v>
      </c>
      <c r="F144" s="10">
        <v>3769053011</v>
      </c>
      <c r="G144" s="10" t="s">
        <v>1748</v>
      </c>
      <c r="H144" s="10">
        <v>0</v>
      </c>
      <c r="I144" s="10">
        <v>823</v>
      </c>
      <c r="J144" s="10">
        <v>364</v>
      </c>
      <c r="K144" s="22"/>
      <c r="L144" s="24" t="s">
        <v>211</v>
      </c>
      <c r="M144" s="236">
        <f t="shared" si="2"/>
        <v>2020056</v>
      </c>
    </row>
    <row r="145" spans="1:13" x14ac:dyDescent="0.3">
      <c r="A145" s="2">
        <v>2018176</v>
      </c>
      <c r="B145" s="24" t="s">
        <v>1843</v>
      </c>
      <c r="C145" s="1" t="s">
        <v>933</v>
      </c>
      <c r="D145" s="10" t="s">
        <v>935</v>
      </c>
      <c r="E145" s="27" t="s">
        <v>748</v>
      </c>
      <c r="F145" s="27" t="s">
        <v>748</v>
      </c>
      <c r="G145" s="10" t="s">
        <v>936</v>
      </c>
      <c r="H145" s="10">
        <v>2</v>
      </c>
      <c r="I145" s="27" t="s">
        <v>715</v>
      </c>
      <c r="J145" s="27" t="s">
        <v>715</v>
      </c>
      <c r="K145" s="21"/>
      <c r="L145" s="24" t="s">
        <v>280</v>
      </c>
      <c r="M145" s="236">
        <f t="shared" si="2"/>
        <v>2018176</v>
      </c>
    </row>
    <row r="146" spans="1:13" x14ac:dyDescent="0.3">
      <c r="A146" s="2">
        <v>2018368</v>
      </c>
      <c r="B146" s="24" t="s">
        <v>328</v>
      </c>
      <c r="C146" s="1" t="s">
        <v>419</v>
      </c>
      <c r="D146" s="10" t="s">
        <v>420</v>
      </c>
      <c r="E146" s="10" t="s">
        <v>1575</v>
      </c>
      <c r="F146" s="10">
        <v>4018052</v>
      </c>
      <c r="G146" s="10" t="s">
        <v>421</v>
      </c>
      <c r="H146" s="10"/>
      <c r="I146" s="10">
        <v>823</v>
      </c>
      <c r="J146" s="10">
        <v>364</v>
      </c>
      <c r="K146" s="21">
        <v>43481</v>
      </c>
      <c r="L146" s="24" t="s">
        <v>156</v>
      </c>
      <c r="M146" s="236">
        <f t="shared" si="2"/>
        <v>2018368</v>
      </c>
    </row>
    <row r="147" spans="1:13" x14ac:dyDescent="0.3">
      <c r="A147" s="2">
        <v>2018342</v>
      </c>
      <c r="B147" s="24" t="s">
        <v>340</v>
      </c>
      <c r="C147" s="1" t="s">
        <v>258</v>
      </c>
      <c r="D147" s="10" t="s">
        <v>259</v>
      </c>
      <c r="E147" s="10" t="s">
        <v>1373</v>
      </c>
      <c r="F147" s="10">
        <v>290706</v>
      </c>
      <c r="G147" s="10" t="s">
        <v>260</v>
      </c>
      <c r="H147" s="10"/>
      <c r="I147" s="10">
        <v>839</v>
      </c>
      <c r="J147" s="10">
        <v>371</v>
      </c>
      <c r="K147" s="21">
        <v>43479</v>
      </c>
      <c r="L147" s="24" t="s">
        <v>156</v>
      </c>
      <c r="M147" s="236">
        <f t="shared" si="2"/>
        <v>2018342</v>
      </c>
    </row>
    <row r="148" spans="1:13" x14ac:dyDescent="0.3">
      <c r="A148" s="2">
        <v>2018356</v>
      </c>
      <c r="B148" s="24" t="s">
        <v>328</v>
      </c>
      <c r="C148" s="1" t="s">
        <v>1644</v>
      </c>
      <c r="D148" s="10" t="s">
        <v>350</v>
      </c>
      <c r="E148" s="10" t="s">
        <v>347</v>
      </c>
      <c r="F148" s="10">
        <v>4122876</v>
      </c>
      <c r="G148" s="10" t="s">
        <v>351</v>
      </c>
      <c r="H148" s="10"/>
      <c r="I148" s="10">
        <v>823</v>
      </c>
      <c r="J148" s="10">
        <v>364</v>
      </c>
      <c r="K148" s="21">
        <v>43480</v>
      </c>
      <c r="L148" s="24" t="s">
        <v>156</v>
      </c>
      <c r="M148" s="236">
        <f t="shared" si="2"/>
        <v>2018356</v>
      </c>
    </row>
    <row r="149" spans="1:13" x14ac:dyDescent="0.3">
      <c r="A149" s="2">
        <v>2018033</v>
      </c>
      <c r="B149" s="24" t="s">
        <v>1852</v>
      </c>
      <c r="C149" s="1" t="s">
        <v>927</v>
      </c>
      <c r="D149" s="10" t="s">
        <v>953</v>
      </c>
      <c r="E149" s="27" t="s">
        <v>715</v>
      </c>
      <c r="F149" s="27" t="s">
        <v>715</v>
      </c>
      <c r="G149" s="10" t="s">
        <v>954</v>
      </c>
      <c r="H149" s="10">
        <v>2</v>
      </c>
      <c r="I149" s="10">
        <v>1646</v>
      </c>
      <c r="J149" s="10">
        <v>728</v>
      </c>
      <c r="K149" s="21"/>
      <c r="L149" s="24" t="s">
        <v>156</v>
      </c>
      <c r="M149" s="236">
        <f t="shared" si="2"/>
        <v>2018033</v>
      </c>
    </row>
    <row r="150" spans="1:13" x14ac:dyDescent="0.3">
      <c r="A150" s="2">
        <v>2018034</v>
      </c>
      <c r="B150" s="24" t="s">
        <v>317</v>
      </c>
      <c r="C150" s="1" t="s">
        <v>18</v>
      </c>
      <c r="D150" s="10" t="s">
        <v>253</v>
      </c>
      <c r="E150" s="10" t="s">
        <v>1376</v>
      </c>
      <c r="F150" s="10">
        <v>2762747</v>
      </c>
      <c r="G150" s="10" t="s">
        <v>254</v>
      </c>
      <c r="H150" s="10"/>
      <c r="I150" s="10">
        <v>839</v>
      </c>
      <c r="J150" s="10">
        <v>371</v>
      </c>
      <c r="K150" s="21">
        <v>43479</v>
      </c>
      <c r="L150" s="24" t="s">
        <v>156</v>
      </c>
      <c r="M150" s="236">
        <f t="shared" si="2"/>
        <v>2018034</v>
      </c>
    </row>
    <row r="151" spans="1:13" x14ac:dyDescent="0.3">
      <c r="A151" s="2">
        <v>2018064</v>
      </c>
      <c r="B151" s="24" t="s">
        <v>53</v>
      </c>
      <c r="C151" s="1" t="s">
        <v>35</v>
      </c>
      <c r="D151" s="10"/>
      <c r="E151" s="10"/>
      <c r="F151" s="10"/>
      <c r="G151" s="10"/>
      <c r="H151" s="10"/>
      <c r="I151" s="10"/>
      <c r="J151" s="10"/>
      <c r="K151" s="21"/>
      <c r="L151" s="24" t="s">
        <v>156</v>
      </c>
      <c r="M151" s="236">
        <f t="shared" si="2"/>
        <v>2018064</v>
      </c>
    </row>
    <row r="152" spans="1:13" x14ac:dyDescent="0.3">
      <c r="A152" s="2">
        <v>2018196</v>
      </c>
      <c r="B152" s="24" t="s">
        <v>1749</v>
      </c>
      <c r="C152" s="1" t="s">
        <v>1014</v>
      </c>
      <c r="D152" s="10" t="s">
        <v>1015</v>
      </c>
      <c r="E152" s="27" t="s">
        <v>715</v>
      </c>
      <c r="F152" s="27" t="s">
        <v>715</v>
      </c>
      <c r="G152" s="10" t="s">
        <v>1016</v>
      </c>
      <c r="H152" s="10">
        <v>3</v>
      </c>
      <c r="I152" s="10">
        <v>1646</v>
      </c>
      <c r="J152" s="27" t="s">
        <v>715</v>
      </c>
      <c r="K152" s="21"/>
      <c r="L152" s="24" t="s">
        <v>1135</v>
      </c>
      <c r="M152" s="236">
        <f t="shared" si="2"/>
        <v>2018196</v>
      </c>
    </row>
    <row r="153" spans="1:13" x14ac:dyDescent="0.3">
      <c r="A153" s="2">
        <v>2020085</v>
      </c>
      <c r="B153" s="24" t="s">
        <v>1921</v>
      </c>
      <c r="C153" s="1" t="s">
        <v>1922</v>
      </c>
      <c r="D153" s="10" t="s">
        <v>1923</v>
      </c>
      <c r="E153" s="10"/>
      <c r="F153" s="10"/>
      <c r="G153" s="10" t="s">
        <v>1924</v>
      </c>
      <c r="H153" s="10">
        <v>0</v>
      </c>
      <c r="I153" s="10">
        <v>823</v>
      </c>
      <c r="J153" s="10">
        <v>364</v>
      </c>
      <c r="K153" s="22"/>
      <c r="L153" s="24" t="s">
        <v>157</v>
      </c>
      <c r="M153" s="236">
        <f t="shared" si="2"/>
        <v>2020085</v>
      </c>
    </row>
    <row r="154" spans="1:13" x14ac:dyDescent="0.3">
      <c r="A154" s="2">
        <v>2018441</v>
      </c>
      <c r="B154" s="24" t="s">
        <v>364</v>
      </c>
      <c r="C154" s="1" t="s">
        <v>1076</v>
      </c>
      <c r="D154" s="10" t="s">
        <v>1077</v>
      </c>
      <c r="E154" s="27" t="s">
        <v>715</v>
      </c>
      <c r="F154" s="27" t="s">
        <v>715</v>
      </c>
      <c r="G154" s="10" t="s">
        <v>1078</v>
      </c>
      <c r="H154" s="27" t="s">
        <v>715</v>
      </c>
      <c r="I154" s="10">
        <v>500</v>
      </c>
      <c r="J154" s="10">
        <v>500</v>
      </c>
      <c r="K154" s="29" t="s">
        <v>1079</v>
      </c>
      <c r="L154" s="24" t="s">
        <v>368</v>
      </c>
      <c r="M154" s="236">
        <f t="shared" si="2"/>
        <v>2018441</v>
      </c>
    </row>
    <row r="155" spans="1:13" x14ac:dyDescent="0.3">
      <c r="A155" s="2">
        <v>2018333</v>
      </c>
      <c r="B155" s="24" t="s">
        <v>201</v>
      </c>
      <c r="C155" s="1" t="s">
        <v>209</v>
      </c>
      <c r="D155" s="10" t="s">
        <v>210</v>
      </c>
      <c r="E155" s="27" t="s">
        <v>715</v>
      </c>
      <c r="F155" s="27" t="s">
        <v>715</v>
      </c>
      <c r="G155" s="10" t="s">
        <v>1486</v>
      </c>
      <c r="H155" s="27" t="s">
        <v>715</v>
      </c>
      <c r="I155" s="10">
        <v>823</v>
      </c>
      <c r="J155" s="10">
        <v>364</v>
      </c>
      <c r="K155" s="21">
        <v>43479</v>
      </c>
      <c r="L155" s="24" t="s">
        <v>211</v>
      </c>
      <c r="M155" s="236">
        <f t="shared" si="2"/>
        <v>2018333</v>
      </c>
    </row>
    <row r="156" spans="1:13" x14ac:dyDescent="0.3">
      <c r="A156" s="2">
        <v>2020068</v>
      </c>
      <c r="B156" s="24" t="s">
        <v>368</v>
      </c>
      <c r="C156" s="1" t="s">
        <v>1836</v>
      </c>
      <c r="D156" s="10" t="s">
        <v>1837</v>
      </c>
      <c r="E156" s="10" t="s">
        <v>1838</v>
      </c>
      <c r="F156" s="10">
        <v>4816859</v>
      </c>
      <c r="G156" s="10" t="s">
        <v>1839</v>
      </c>
      <c r="H156" s="10">
        <v>0</v>
      </c>
      <c r="I156" s="10">
        <v>500</v>
      </c>
      <c r="J156" s="10">
        <v>500</v>
      </c>
      <c r="K156" s="22"/>
      <c r="L156" s="24" t="s">
        <v>368</v>
      </c>
      <c r="M156" s="236">
        <f t="shared" si="2"/>
        <v>2020068</v>
      </c>
    </row>
    <row r="157" spans="1:13" x14ac:dyDescent="0.3">
      <c r="A157" s="2">
        <v>2018135</v>
      </c>
      <c r="B157" s="24" t="s">
        <v>982</v>
      </c>
      <c r="C157" s="1" t="s">
        <v>62</v>
      </c>
      <c r="D157" s="10" t="s">
        <v>791</v>
      </c>
      <c r="E157" s="27" t="s">
        <v>715</v>
      </c>
      <c r="F157" s="27" t="s">
        <v>715</v>
      </c>
      <c r="G157" s="10" t="s">
        <v>792</v>
      </c>
      <c r="H157" s="27" t="s">
        <v>715</v>
      </c>
      <c r="I157" s="10">
        <v>823</v>
      </c>
      <c r="J157" s="10">
        <v>364</v>
      </c>
      <c r="K157" s="21">
        <v>43483</v>
      </c>
      <c r="L157" s="24" t="s">
        <v>156</v>
      </c>
      <c r="M157" s="236">
        <f t="shared" si="2"/>
        <v>2018135</v>
      </c>
    </row>
    <row r="158" spans="1:13" x14ac:dyDescent="0.3">
      <c r="A158" s="2">
        <v>2018416</v>
      </c>
      <c r="B158" s="24" t="s">
        <v>105</v>
      </c>
      <c r="C158" s="1" t="s">
        <v>947</v>
      </c>
      <c r="D158" s="10" t="s">
        <v>948</v>
      </c>
      <c r="E158" s="27" t="s">
        <v>715</v>
      </c>
      <c r="F158" s="27" t="s">
        <v>715</v>
      </c>
      <c r="G158" s="10" t="s">
        <v>949</v>
      </c>
      <c r="H158" s="27" t="s">
        <v>715</v>
      </c>
      <c r="I158" s="10">
        <v>823</v>
      </c>
      <c r="J158" s="10">
        <v>610</v>
      </c>
      <c r="K158" s="21"/>
      <c r="L158" s="24" t="s">
        <v>157</v>
      </c>
      <c r="M158" s="236">
        <f t="shared" si="2"/>
        <v>2018416</v>
      </c>
    </row>
    <row r="159" spans="1:13" x14ac:dyDescent="0.3">
      <c r="A159" s="2">
        <v>2018440</v>
      </c>
      <c r="B159" s="24" t="s">
        <v>328</v>
      </c>
      <c r="C159" s="1" t="s">
        <v>1073</v>
      </c>
      <c r="D159" s="10" t="s">
        <v>1074</v>
      </c>
      <c r="E159" s="27" t="s">
        <v>715</v>
      </c>
      <c r="F159" s="27" t="s">
        <v>715</v>
      </c>
      <c r="G159" s="10" t="s">
        <v>1075</v>
      </c>
      <c r="H159" s="27" t="s">
        <v>715</v>
      </c>
      <c r="I159" s="10">
        <v>807</v>
      </c>
      <c r="J159" s="10">
        <v>357</v>
      </c>
      <c r="K159" s="21">
        <v>43483</v>
      </c>
      <c r="L159" s="24" t="s">
        <v>156</v>
      </c>
      <c r="M159" s="236">
        <f t="shared" si="2"/>
        <v>2018440</v>
      </c>
    </row>
    <row r="160" spans="1:13" x14ac:dyDescent="0.3">
      <c r="A160" s="2">
        <v>2018178</v>
      </c>
      <c r="B160" s="24" t="s">
        <v>458</v>
      </c>
      <c r="C160" s="1" t="s">
        <v>73</v>
      </c>
      <c r="D160" s="10" t="s">
        <v>1701</v>
      </c>
      <c r="E160" s="10" t="s">
        <v>1001</v>
      </c>
      <c r="F160" s="10">
        <v>4188474016</v>
      </c>
      <c r="G160" s="10" t="s">
        <v>1702</v>
      </c>
      <c r="H160" s="27" t="s">
        <v>715</v>
      </c>
      <c r="I160" s="10">
        <v>823</v>
      </c>
      <c r="J160" s="10">
        <v>364</v>
      </c>
      <c r="K160" s="21">
        <v>43480</v>
      </c>
      <c r="L160" s="24" t="s">
        <v>156</v>
      </c>
      <c r="M160" s="236">
        <f t="shared" si="2"/>
        <v>2018178</v>
      </c>
    </row>
    <row r="161" spans="1:13" x14ac:dyDescent="0.3">
      <c r="A161" s="2">
        <v>2018088</v>
      </c>
      <c r="B161" s="24" t="s">
        <v>454</v>
      </c>
      <c r="C161" s="1" t="s">
        <v>48</v>
      </c>
      <c r="D161" s="10" t="s">
        <v>595</v>
      </c>
      <c r="E161" s="10" t="s">
        <v>1510</v>
      </c>
      <c r="F161" s="10">
        <v>2878082015</v>
      </c>
      <c r="G161" s="10" t="s">
        <v>596</v>
      </c>
      <c r="H161" s="27" t="s">
        <v>715</v>
      </c>
      <c r="I161" s="10">
        <v>823</v>
      </c>
      <c r="J161" s="10">
        <v>364</v>
      </c>
      <c r="K161" s="21">
        <v>43482</v>
      </c>
      <c r="L161" s="24" t="s">
        <v>156</v>
      </c>
      <c r="M161" s="236">
        <f t="shared" si="2"/>
        <v>2018088</v>
      </c>
    </row>
    <row r="162" spans="1:13" x14ac:dyDescent="0.3">
      <c r="A162" s="2">
        <v>2018065</v>
      </c>
      <c r="B162" s="24" t="s">
        <v>1568</v>
      </c>
      <c r="C162" s="1" t="s">
        <v>1567</v>
      </c>
      <c r="D162" s="10" t="s">
        <v>397</v>
      </c>
      <c r="E162" s="10" t="s">
        <v>398</v>
      </c>
      <c r="F162" s="10">
        <v>4391923</v>
      </c>
      <c r="G162" s="10" t="s">
        <v>399</v>
      </c>
      <c r="H162" s="10">
        <v>2</v>
      </c>
      <c r="I162" s="27" t="s">
        <v>715</v>
      </c>
      <c r="J162" s="27" t="s">
        <v>715</v>
      </c>
      <c r="K162" s="21">
        <v>43480</v>
      </c>
      <c r="L162" s="24" t="s">
        <v>246</v>
      </c>
      <c r="M162" s="236">
        <f t="shared" si="2"/>
        <v>2018065</v>
      </c>
    </row>
    <row r="163" spans="1:13" x14ac:dyDescent="0.3">
      <c r="A163" s="2">
        <v>2018438</v>
      </c>
      <c r="B163" s="24" t="s">
        <v>1066</v>
      </c>
      <c r="C163" s="1" t="s">
        <v>1067</v>
      </c>
      <c r="D163" s="10" t="s">
        <v>1068</v>
      </c>
      <c r="E163" s="27" t="s">
        <v>715</v>
      </c>
      <c r="F163" s="27" t="s">
        <v>715</v>
      </c>
      <c r="G163" s="10" t="s">
        <v>1069</v>
      </c>
      <c r="H163" s="27" t="s">
        <v>715</v>
      </c>
      <c r="I163" s="10">
        <v>807</v>
      </c>
      <c r="J163" s="10">
        <v>357</v>
      </c>
      <c r="K163" s="21">
        <v>43483</v>
      </c>
      <c r="L163" s="24" t="s">
        <v>989</v>
      </c>
      <c r="M163" s="236">
        <f t="shared" si="2"/>
        <v>2018438</v>
      </c>
    </row>
    <row r="164" spans="1:13" x14ac:dyDescent="0.3">
      <c r="A164" s="2">
        <v>2018213</v>
      </c>
      <c r="B164" s="24" t="s">
        <v>997</v>
      </c>
      <c r="C164" s="1" t="s">
        <v>81</v>
      </c>
      <c r="D164" s="10" t="s">
        <v>590</v>
      </c>
      <c r="E164" s="10" t="s">
        <v>252</v>
      </c>
      <c r="F164" s="10" t="s">
        <v>252</v>
      </c>
      <c r="G164" s="10" t="s">
        <v>591</v>
      </c>
      <c r="H164" s="10"/>
      <c r="I164" s="10">
        <v>823</v>
      </c>
      <c r="J164" s="10">
        <v>610</v>
      </c>
      <c r="K164" s="21"/>
      <c r="L164" s="24" t="s">
        <v>157</v>
      </c>
      <c r="M164" s="236">
        <f t="shared" si="2"/>
        <v>2018213</v>
      </c>
    </row>
    <row r="165" spans="1:13" x14ac:dyDescent="0.3">
      <c r="A165" s="2">
        <v>2018366</v>
      </c>
      <c r="B165" s="24" t="s">
        <v>328</v>
      </c>
      <c r="C165" s="1" t="s">
        <v>389</v>
      </c>
      <c r="D165" s="10" t="s">
        <v>390</v>
      </c>
      <c r="E165" s="10" t="s">
        <v>1393</v>
      </c>
      <c r="F165" s="10">
        <v>5268896</v>
      </c>
      <c r="G165" s="10" t="s">
        <v>391</v>
      </c>
      <c r="H165" s="27" t="s">
        <v>715</v>
      </c>
      <c r="I165" s="10">
        <v>839</v>
      </c>
      <c r="J165" s="10">
        <v>371</v>
      </c>
      <c r="K165" s="21">
        <v>43480</v>
      </c>
      <c r="L165" s="24" t="s">
        <v>156</v>
      </c>
      <c r="M165" s="236">
        <f t="shared" si="2"/>
        <v>2018366</v>
      </c>
    </row>
    <row r="166" spans="1:13" x14ac:dyDescent="0.3">
      <c r="A166" s="2">
        <v>2018456</v>
      </c>
      <c r="B166" s="24" t="s">
        <v>328</v>
      </c>
      <c r="C166" s="1" t="s">
        <v>1160</v>
      </c>
      <c r="D166" s="10" t="s">
        <v>1707</v>
      </c>
      <c r="E166" s="10" t="s">
        <v>1161</v>
      </c>
      <c r="F166" s="10">
        <v>4451163</v>
      </c>
      <c r="G166" s="10" t="s">
        <v>1162</v>
      </c>
      <c r="H166" s="27" t="s">
        <v>715</v>
      </c>
      <c r="I166" s="10">
        <v>823</v>
      </c>
      <c r="J166" s="10">
        <v>364</v>
      </c>
      <c r="K166" s="21">
        <v>43479</v>
      </c>
      <c r="L166" s="24" t="s">
        <v>156</v>
      </c>
      <c r="M166" s="236">
        <f t="shared" si="2"/>
        <v>2018456</v>
      </c>
    </row>
    <row r="167" spans="1:13" x14ac:dyDescent="0.3">
      <c r="A167" s="2">
        <v>2020024</v>
      </c>
      <c r="B167" s="24" t="s">
        <v>1414</v>
      </c>
      <c r="C167" s="1" t="s">
        <v>1419</v>
      </c>
      <c r="D167" s="10" t="s">
        <v>1420</v>
      </c>
      <c r="E167" s="10"/>
      <c r="F167" s="10"/>
      <c r="G167" s="10" t="s">
        <v>1421</v>
      </c>
      <c r="H167" s="10">
        <v>0</v>
      </c>
      <c r="I167" s="10">
        <v>839</v>
      </c>
      <c r="J167" s="10">
        <v>371</v>
      </c>
      <c r="K167" s="22" t="s">
        <v>1271</v>
      </c>
      <c r="L167" s="24" t="s">
        <v>1414</v>
      </c>
      <c r="M167" s="236">
        <f t="shared" si="2"/>
        <v>2020024</v>
      </c>
    </row>
    <row r="168" spans="1:13" x14ac:dyDescent="0.3">
      <c r="A168" s="2">
        <v>2018089</v>
      </c>
      <c r="B168" s="24" t="s">
        <v>58</v>
      </c>
      <c r="C168" s="1" t="s">
        <v>49</v>
      </c>
      <c r="D168" s="10"/>
      <c r="E168" s="10"/>
      <c r="F168" s="10"/>
      <c r="G168" s="10"/>
      <c r="H168" s="10"/>
      <c r="I168" s="10"/>
      <c r="J168" s="10"/>
      <c r="K168" s="21">
        <v>43480</v>
      </c>
      <c r="L168" s="24" t="s">
        <v>156</v>
      </c>
      <c r="M168" s="236">
        <f t="shared" si="2"/>
        <v>2018089</v>
      </c>
    </row>
    <row r="169" spans="1:13" x14ac:dyDescent="0.3">
      <c r="A169" s="2">
        <v>2018136</v>
      </c>
      <c r="B169" s="24" t="s">
        <v>212</v>
      </c>
      <c r="C169" s="1" t="s">
        <v>213</v>
      </c>
      <c r="D169" s="10" t="s">
        <v>214</v>
      </c>
      <c r="E169" s="10"/>
      <c r="F169" s="10"/>
      <c r="G169" s="10" t="s">
        <v>215</v>
      </c>
      <c r="H169" s="10">
        <v>2</v>
      </c>
      <c r="I169" s="10">
        <v>807</v>
      </c>
      <c r="J169" s="10">
        <v>357</v>
      </c>
      <c r="K169" s="21">
        <v>43479</v>
      </c>
      <c r="L169" s="24" t="s">
        <v>156</v>
      </c>
      <c r="M169" s="236">
        <f t="shared" si="2"/>
        <v>2018136</v>
      </c>
    </row>
    <row r="170" spans="1:13" x14ac:dyDescent="0.3">
      <c r="A170" s="2">
        <v>2018249</v>
      </c>
      <c r="B170" s="24" t="s">
        <v>1283</v>
      </c>
      <c r="C170" s="1" t="s">
        <v>95</v>
      </c>
      <c r="D170" s="10" t="s">
        <v>855</v>
      </c>
      <c r="E170" s="27" t="s">
        <v>715</v>
      </c>
      <c r="F170" s="27" t="s">
        <v>715</v>
      </c>
      <c r="G170" s="10" t="s">
        <v>856</v>
      </c>
      <c r="H170" s="27" t="s">
        <v>715</v>
      </c>
      <c r="I170" s="10">
        <v>807</v>
      </c>
      <c r="J170" s="10">
        <v>598</v>
      </c>
      <c r="K170" s="21"/>
      <c r="L170" s="24" t="s">
        <v>157</v>
      </c>
      <c r="M170" s="236">
        <f t="shared" si="2"/>
        <v>2018249</v>
      </c>
    </row>
    <row r="171" spans="1:13" x14ac:dyDescent="0.3">
      <c r="A171" s="2">
        <v>2018259</v>
      </c>
      <c r="B171" s="24" t="s">
        <v>1108</v>
      </c>
      <c r="C171" s="1" t="s">
        <v>1940</v>
      </c>
      <c r="D171" s="10" t="s">
        <v>1109</v>
      </c>
      <c r="E171" s="27" t="s">
        <v>715</v>
      </c>
      <c r="F171" s="27" t="s">
        <v>715</v>
      </c>
      <c r="G171" s="10" t="s">
        <v>1110</v>
      </c>
      <c r="H171" s="10">
        <v>2</v>
      </c>
      <c r="I171" s="10">
        <v>1614</v>
      </c>
      <c r="J171" s="10">
        <v>1196</v>
      </c>
      <c r="K171" s="21">
        <v>43483</v>
      </c>
      <c r="L171" s="24" t="s">
        <v>157</v>
      </c>
      <c r="M171" s="236">
        <f t="shared" si="2"/>
        <v>2018259</v>
      </c>
    </row>
    <row r="172" spans="1:13" x14ac:dyDescent="0.3">
      <c r="A172" s="2">
        <v>2018230</v>
      </c>
      <c r="B172" s="24" t="s">
        <v>105</v>
      </c>
      <c r="C172" s="1" t="s">
        <v>88</v>
      </c>
      <c r="D172" s="10" t="s">
        <v>412</v>
      </c>
      <c r="E172" s="10" t="s">
        <v>1482</v>
      </c>
      <c r="F172" s="10">
        <v>992801015</v>
      </c>
      <c r="G172" s="10" t="s">
        <v>413</v>
      </c>
      <c r="H172" s="27" t="s">
        <v>715</v>
      </c>
      <c r="I172" s="10">
        <v>823</v>
      </c>
      <c r="J172" s="10">
        <v>610</v>
      </c>
      <c r="K172" s="21">
        <v>43481</v>
      </c>
      <c r="L172" s="24" t="s">
        <v>157</v>
      </c>
      <c r="M172" s="236">
        <f t="shared" si="2"/>
        <v>2018230</v>
      </c>
    </row>
    <row r="173" spans="1:13" x14ac:dyDescent="0.3">
      <c r="A173" s="2">
        <v>2018197</v>
      </c>
      <c r="B173" s="24" t="s">
        <v>85</v>
      </c>
      <c r="C173" s="1" t="s">
        <v>500</v>
      </c>
      <c r="D173" s="10" t="s">
        <v>501</v>
      </c>
      <c r="E173" s="10" t="s">
        <v>252</v>
      </c>
      <c r="F173" s="10" t="s">
        <v>252</v>
      </c>
      <c r="G173" s="10" t="s">
        <v>502</v>
      </c>
      <c r="H173" s="10"/>
      <c r="I173" s="10">
        <v>807</v>
      </c>
      <c r="J173" s="10">
        <v>357</v>
      </c>
      <c r="K173" s="21">
        <v>43481</v>
      </c>
      <c r="L173" s="24" t="s">
        <v>156</v>
      </c>
      <c r="M173" s="236">
        <f t="shared" si="2"/>
        <v>2018197</v>
      </c>
    </row>
    <row r="174" spans="1:13" x14ac:dyDescent="0.3">
      <c r="A174" s="2">
        <v>2018215</v>
      </c>
      <c r="B174" s="24" t="s">
        <v>92</v>
      </c>
      <c r="C174" s="1" t="s">
        <v>82</v>
      </c>
      <c r="D174" s="10" t="s">
        <v>299</v>
      </c>
      <c r="E174" s="10" t="s">
        <v>301</v>
      </c>
      <c r="F174" s="10">
        <v>3143656</v>
      </c>
      <c r="G174" s="10" t="s">
        <v>300</v>
      </c>
      <c r="H174" s="10"/>
      <c r="I174" s="10">
        <v>807</v>
      </c>
      <c r="J174" s="10">
        <v>357</v>
      </c>
      <c r="K174" s="21">
        <v>43480</v>
      </c>
      <c r="L174" s="24" t="s">
        <v>156</v>
      </c>
      <c r="M174" s="236">
        <f t="shared" si="2"/>
        <v>2018215</v>
      </c>
    </row>
    <row r="175" spans="1:13" x14ac:dyDescent="0.3">
      <c r="A175" s="2">
        <v>2018110</v>
      </c>
      <c r="B175" s="24" t="s">
        <v>408</v>
      </c>
      <c r="C175" s="1" t="s">
        <v>513</v>
      </c>
      <c r="D175" s="10" t="s">
        <v>514</v>
      </c>
      <c r="E175" s="10" t="s">
        <v>515</v>
      </c>
      <c r="F175" s="10">
        <v>5158913</v>
      </c>
      <c r="G175" s="10" t="s">
        <v>516</v>
      </c>
      <c r="H175" s="10">
        <v>2</v>
      </c>
      <c r="I175" s="10" t="s">
        <v>279</v>
      </c>
      <c r="J175" s="10">
        <v>955</v>
      </c>
      <c r="K175" s="21">
        <v>43481</v>
      </c>
      <c r="L175" s="24" t="s">
        <v>280</v>
      </c>
      <c r="M175" s="236">
        <f t="shared" si="2"/>
        <v>2018110</v>
      </c>
    </row>
    <row r="176" spans="1:13" x14ac:dyDescent="0.3">
      <c r="A176" s="2">
        <v>2018417</v>
      </c>
      <c r="B176" s="24" t="s">
        <v>340</v>
      </c>
      <c r="C176" s="1" t="s">
        <v>950</v>
      </c>
      <c r="D176" s="10" t="s">
        <v>951</v>
      </c>
      <c r="E176" s="27" t="s">
        <v>1054</v>
      </c>
      <c r="F176" s="27">
        <v>783316</v>
      </c>
      <c r="G176" s="10" t="s">
        <v>952</v>
      </c>
      <c r="H176" s="27">
        <v>2</v>
      </c>
      <c r="I176" s="27">
        <v>1646</v>
      </c>
      <c r="J176" s="27">
        <v>728</v>
      </c>
      <c r="K176" s="21">
        <v>43482</v>
      </c>
      <c r="L176" s="24" t="s">
        <v>156</v>
      </c>
      <c r="M176" s="236">
        <f t="shared" si="2"/>
        <v>2018417</v>
      </c>
    </row>
    <row r="177" spans="1:13" x14ac:dyDescent="0.3">
      <c r="A177" s="2">
        <v>2018260</v>
      </c>
      <c r="B177" s="24" t="s">
        <v>108</v>
      </c>
      <c r="C177" s="1" t="s">
        <v>99</v>
      </c>
      <c r="D177" s="10" t="s">
        <v>911</v>
      </c>
      <c r="E177" s="10" t="s">
        <v>1346</v>
      </c>
      <c r="F177" s="10">
        <v>3027563</v>
      </c>
      <c r="G177" s="10" t="s">
        <v>1347</v>
      </c>
      <c r="H177" s="27" t="s">
        <v>715</v>
      </c>
      <c r="I177" s="10">
        <v>839</v>
      </c>
      <c r="J177" s="10">
        <v>622</v>
      </c>
      <c r="K177" s="21">
        <v>43483</v>
      </c>
      <c r="L177" s="24" t="s">
        <v>157</v>
      </c>
      <c r="M177" s="236">
        <f t="shared" si="2"/>
        <v>2018260</v>
      </c>
    </row>
    <row r="178" spans="1:13" x14ac:dyDescent="0.3">
      <c r="A178" s="2">
        <v>2018035</v>
      </c>
      <c r="B178" s="24" t="s">
        <v>1708</v>
      </c>
      <c r="C178" s="1" t="s">
        <v>538</v>
      </c>
      <c r="D178" s="10" t="s">
        <v>536</v>
      </c>
      <c r="E178" s="10" t="s">
        <v>1709</v>
      </c>
      <c r="F178" s="10">
        <v>4401246</v>
      </c>
      <c r="G178" s="10" t="s">
        <v>537</v>
      </c>
      <c r="H178" s="10">
        <v>2</v>
      </c>
      <c r="I178" s="10">
        <v>1646</v>
      </c>
      <c r="J178" s="10">
        <v>728</v>
      </c>
      <c r="K178" s="21">
        <v>43482</v>
      </c>
      <c r="L178" s="24" t="s">
        <v>568</v>
      </c>
      <c r="M178" s="236">
        <f t="shared" si="2"/>
        <v>2018035</v>
      </c>
    </row>
    <row r="179" spans="1:13" x14ac:dyDescent="0.3">
      <c r="A179" s="2">
        <v>2020078</v>
      </c>
      <c r="B179" s="24" t="s">
        <v>368</v>
      </c>
      <c r="C179" s="1" t="s">
        <v>1884</v>
      </c>
      <c r="D179" s="10" t="s">
        <v>1885</v>
      </c>
      <c r="E179" s="10" t="s">
        <v>1886</v>
      </c>
      <c r="F179" s="10">
        <v>4386410</v>
      </c>
      <c r="G179" s="10" t="s">
        <v>1887</v>
      </c>
      <c r="H179" s="10">
        <v>0</v>
      </c>
      <c r="I179" s="10">
        <v>500</v>
      </c>
      <c r="J179" s="10">
        <v>500</v>
      </c>
      <c r="K179" s="22"/>
      <c r="L179" s="24" t="s">
        <v>368</v>
      </c>
      <c r="M179" s="236">
        <f t="shared" si="2"/>
        <v>2020078</v>
      </c>
    </row>
    <row r="180" spans="1:13" x14ac:dyDescent="0.3">
      <c r="A180" s="2">
        <v>2020089</v>
      </c>
      <c r="B180" s="24" t="s">
        <v>201</v>
      </c>
      <c r="C180" s="1" t="s">
        <v>1936</v>
      </c>
      <c r="D180" s="10" t="s">
        <v>1937</v>
      </c>
      <c r="E180" s="27" t="s">
        <v>715</v>
      </c>
      <c r="F180" s="27" t="s">
        <v>715</v>
      </c>
      <c r="G180" s="10" t="s">
        <v>1938</v>
      </c>
      <c r="H180" s="27" t="s">
        <v>715</v>
      </c>
      <c r="I180" s="27" t="s">
        <v>715</v>
      </c>
      <c r="J180" s="27" t="s">
        <v>715</v>
      </c>
      <c r="K180" s="60" t="s">
        <v>715</v>
      </c>
      <c r="L180" s="24" t="s">
        <v>211</v>
      </c>
      <c r="M180" s="236">
        <f t="shared" si="2"/>
        <v>2020089</v>
      </c>
    </row>
    <row r="181" spans="1:13" x14ac:dyDescent="0.3">
      <c r="A181" s="2">
        <v>2020001</v>
      </c>
      <c r="B181" s="24" t="s">
        <v>364</v>
      </c>
      <c r="C181" s="1" t="s">
        <v>1238</v>
      </c>
      <c r="D181" s="10" t="s">
        <v>1239</v>
      </c>
      <c r="E181" s="27" t="s">
        <v>1240</v>
      </c>
      <c r="F181" s="27">
        <v>4910585</v>
      </c>
      <c r="G181" s="10" t="s">
        <v>1241</v>
      </c>
      <c r="H181" s="10">
        <v>0</v>
      </c>
      <c r="I181" s="10">
        <v>500</v>
      </c>
      <c r="J181" s="10">
        <v>500</v>
      </c>
      <c r="K181" s="22" t="s">
        <v>1242</v>
      </c>
      <c r="L181" s="24" t="s">
        <v>368</v>
      </c>
      <c r="M181" s="236">
        <f t="shared" si="2"/>
        <v>2020001</v>
      </c>
    </row>
    <row r="182" spans="1:13" x14ac:dyDescent="0.3">
      <c r="A182" s="2">
        <v>2020037</v>
      </c>
      <c r="B182" s="24" t="s">
        <v>1926</v>
      </c>
      <c r="C182" s="1" t="s">
        <v>1925</v>
      </c>
      <c r="D182" s="10" t="s">
        <v>1543</v>
      </c>
      <c r="E182" s="10" t="s">
        <v>1544</v>
      </c>
      <c r="F182" s="10">
        <v>3733391</v>
      </c>
      <c r="G182" s="10" t="s">
        <v>1545</v>
      </c>
      <c r="H182" s="10">
        <v>2</v>
      </c>
      <c r="I182" s="10">
        <v>1646</v>
      </c>
      <c r="J182" s="10">
        <v>728</v>
      </c>
      <c r="K182" s="22"/>
      <c r="L182" s="24" t="s">
        <v>156</v>
      </c>
      <c r="M182" s="236">
        <f t="shared" si="2"/>
        <v>2020037</v>
      </c>
    </row>
    <row r="183" spans="1:13" x14ac:dyDescent="0.3">
      <c r="A183" s="2">
        <v>2018216</v>
      </c>
      <c r="B183" s="58" t="s">
        <v>946</v>
      </c>
      <c r="C183" s="1" t="s">
        <v>83</v>
      </c>
      <c r="D183" s="10" t="s">
        <v>692</v>
      </c>
      <c r="E183" s="10" t="s">
        <v>693</v>
      </c>
      <c r="F183" s="10">
        <v>3087285</v>
      </c>
      <c r="G183" s="10" t="s">
        <v>694</v>
      </c>
      <c r="H183" s="27" t="s">
        <v>715</v>
      </c>
      <c r="I183" s="27" t="s">
        <v>715</v>
      </c>
      <c r="J183" s="27" t="s">
        <v>715</v>
      </c>
      <c r="K183" s="21">
        <v>43483</v>
      </c>
      <c r="L183" s="24" t="s">
        <v>157</v>
      </c>
      <c r="M183" s="236">
        <f t="shared" si="2"/>
        <v>2018216</v>
      </c>
    </row>
    <row r="184" spans="1:13" x14ac:dyDescent="0.3">
      <c r="A184" s="2">
        <v>2018036</v>
      </c>
      <c r="B184" s="24" t="s">
        <v>58</v>
      </c>
      <c r="C184" s="1" t="s">
        <v>19</v>
      </c>
      <c r="D184" s="10" t="s">
        <v>888</v>
      </c>
      <c r="E184" s="10" t="s">
        <v>461</v>
      </c>
      <c r="F184" s="10">
        <v>5234989</v>
      </c>
      <c r="G184" s="10" t="s">
        <v>889</v>
      </c>
      <c r="H184" s="27" t="s">
        <v>715</v>
      </c>
      <c r="I184" s="10">
        <v>823</v>
      </c>
      <c r="J184" s="10">
        <v>364</v>
      </c>
      <c r="K184" s="21"/>
      <c r="L184" s="24" t="s">
        <v>156</v>
      </c>
      <c r="M184" s="236">
        <f t="shared" si="2"/>
        <v>2018036</v>
      </c>
    </row>
    <row r="185" spans="1:13" x14ac:dyDescent="0.3">
      <c r="A185" s="2">
        <v>2018399</v>
      </c>
      <c r="B185" s="24" t="s">
        <v>201</v>
      </c>
      <c r="C185" s="1" t="s">
        <v>744</v>
      </c>
      <c r="D185" s="10" t="s">
        <v>1687</v>
      </c>
      <c r="E185" s="27" t="s">
        <v>1688</v>
      </c>
      <c r="F185" s="27">
        <v>6518502</v>
      </c>
      <c r="G185" s="10" t="s">
        <v>745</v>
      </c>
      <c r="H185" s="27" t="s">
        <v>715</v>
      </c>
      <c r="I185" s="10">
        <v>823</v>
      </c>
      <c r="J185" s="10">
        <v>364</v>
      </c>
      <c r="K185" s="21">
        <v>43483</v>
      </c>
      <c r="L185" s="24" t="s">
        <v>211</v>
      </c>
      <c r="M185" s="236">
        <f t="shared" si="2"/>
        <v>2018399</v>
      </c>
    </row>
    <row r="186" spans="1:13" x14ac:dyDescent="0.3">
      <c r="A186" s="2">
        <v>2018067</v>
      </c>
      <c r="B186" s="24" t="s">
        <v>1658</v>
      </c>
      <c r="C186" s="1" t="s">
        <v>574</v>
      </c>
      <c r="D186" s="10" t="s">
        <v>575</v>
      </c>
      <c r="E186" s="27" t="s">
        <v>715</v>
      </c>
      <c r="F186" s="27" t="s">
        <v>715</v>
      </c>
      <c r="G186" s="10" t="s">
        <v>576</v>
      </c>
      <c r="H186" s="10">
        <v>3</v>
      </c>
      <c r="I186" s="27" t="s">
        <v>715</v>
      </c>
      <c r="J186" s="27" t="s">
        <v>715</v>
      </c>
      <c r="K186" s="21">
        <v>43482</v>
      </c>
      <c r="L186" s="24" t="s">
        <v>280</v>
      </c>
      <c r="M186" s="236">
        <f t="shared" si="2"/>
        <v>2018067</v>
      </c>
    </row>
    <row r="187" spans="1:13" x14ac:dyDescent="0.3">
      <c r="A187" s="2">
        <v>2018156</v>
      </c>
      <c r="B187" s="24" t="s">
        <v>1699</v>
      </c>
      <c r="C187" s="1" t="s">
        <v>1903</v>
      </c>
      <c r="D187" s="10" t="s">
        <v>486</v>
      </c>
      <c r="E187" s="10" t="s">
        <v>1635</v>
      </c>
      <c r="F187" s="10">
        <v>3731801013</v>
      </c>
      <c r="G187" s="10" t="s">
        <v>487</v>
      </c>
      <c r="H187" s="10"/>
      <c r="I187" s="10">
        <v>1646</v>
      </c>
      <c r="J187" s="10">
        <v>728</v>
      </c>
      <c r="K187" s="21">
        <v>43481</v>
      </c>
      <c r="L187" s="24" t="s">
        <v>156</v>
      </c>
      <c r="M187" s="236">
        <f t="shared" si="2"/>
        <v>2018156</v>
      </c>
    </row>
    <row r="188" spans="1:13" x14ac:dyDescent="0.3">
      <c r="A188" s="2">
        <v>2018355</v>
      </c>
      <c r="B188" s="24" t="s">
        <v>340</v>
      </c>
      <c r="C188" s="1" t="s">
        <v>345</v>
      </c>
      <c r="D188" s="10" t="s">
        <v>346</v>
      </c>
      <c r="E188" s="10" t="s">
        <v>1629</v>
      </c>
      <c r="F188" s="10">
        <v>4507485011</v>
      </c>
      <c r="G188" s="10" t="s">
        <v>348</v>
      </c>
      <c r="H188" s="10"/>
      <c r="I188" s="10">
        <v>823</v>
      </c>
      <c r="J188" s="10">
        <v>364</v>
      </c>
      <c r="K188" s="21"/>
      <c r="L188" s="24" t="s">
        <v>156</v>
      </c>
      <c r="M188" s="236">
        <f t="shared" si="2"/>
        <v>2018355</v>
      </c>
    </row>
    <row r="189" spans="1:13" x14ac:dyDescent="0.3">
      <c r="A189" s="2">
        <v>2018179</v>
      </c>
      <c r="B189" s="24" t="s">
        <v>458</v>
      </c>
      <c r="C189" s="1" t="s">
        <v>74</v>
      </c>
      <c r="D189" s="10" t="s">
        <v>676</v>
      </c>
      <c r="E189" s="10" t="s">
        <v>677</v>
      </c>
      <c r="F189" s="10">
        <v>3774305</v>
      </c>
      <c r="G189" s="10" t="s">
        <v>1429</v>
      </c>
      <c r="H189" s="27" t="s">
        <v>715</v>
      </c>
      <c r="I189" s="27" t="s">
        <v>715</v>
      </c>
      <c r="J189" s="27" t="s">
        <v>715</v>
      </c>
      <c r="K189" s="21">
        <v>43483</v>
      </c>
      <c r="L189" s="24" t="s">
        <v>156</v>
      </c>
      <c r="M189" s="236">
        <f t="shared" si="2"/>
        <v>2018179</v>
      </c>
    </row>
    <row r="190" spans="1:13" x14ac:dyDescent="0.3">
      <c r="A190" s="2">
        <v>2018310</v>
      </c>
      <c r="B190" s="24" t="s">
        <v>130</v>
      </c>
      <c r="C190" s="1" t="s">
        <v>1866</v>
      </c>
      <c r="D190" s="10" t="s">
        <v>1046</v>
      </c>
      <c r="E190" s="27" t="s">
        <v>715</v>
      </c>
      <c r="F190" s="27" t="s">
        <v>715</v>
      </c>
      <c r="G190" s="10" t="s">
        <v>1047</v>
      </c>
      <c r="H190" s="27" t="s">
        <v>715</v>
      </c>
      <c r="I190" s="10">
        <v>823</v>
      </c>
      <c r="J190" s="10">
        <v>610</v>
      </c>
      <c r="K190" s="21"/>
      <c r="L190" s="24" t="s">
        <v>157</v>
      </c>
      <c r="M190" s="236">
        <f t="shared" si="2"/>
        <v>2018310</v>
      </c>
    </row>
    <row r="191" spans="1:13" x14ac:dyDescent="0.3">
      <c r="A191" s="2">
        <v>2018198</v>
      </c>
      <c r="B191" s="58" t="s">
        <v>1464</v>
      </c>
      <c r="C191" s="1" t="s">
        <v>879</v>
      </c>
      <c r="D191" s="10" t="s">
        <v>880</v>
      </c>
      <c r="E191" s="27" t="s">
        <v>1465</v>
      </c>
      <c r="F191" s="27">
        <v>3376745019</v>
      </c>
      <c r="G191" s="10" t="s">
        <v>881</v>
      </c>
      <c r="H191" s="10">
        <v>2</v>
      </c>
      <c r="I191" s="27" t="s">
        <v>715</v>
      </c>
      <c r="J191" s="27" t="s">
        <v>715</v>
      </c>
      <c r="K191" s="21">
        <v>43483</v>
      </c>
      <c r="L191" s="24" t="s">
        <v>589</v>
      </c>
      <c r="M191" s="236">
        <f t="shared" si="2"/>
        <v>2018198</v>
      </c>
    </row>
    <row r="192" spans="1:13" x14ac:dyDescent="0.3">
      <c r="A192" s="2">
        <v>2020054</v>
      </c>
      <c r="B192" s="24" t="s">
        <v>216</v>
      </c>
      <c r="C192" s="1" t="s">
        <v>1734</v>
      </c>
      <c r="D192" s="10" t="s">
        <v>1735</v>
      </c>
      <c r="E192" s="10"/>
      <c r="F192" s="10"/>
      <c r="G192" s="10" t="s">
        <v>1736</v>
      </c>
      <c r="H192" s="10">
        <v>1</v>
      </c>
      <c r="I192" s="10">
        <v>823</v>
      </c>
      <c r="J192" s="10">
        <v>364</v>
      </c>
      <c r="K192" s="22"/>
      <c r="L192" s="24" t="s">
        <v>211</v>
      </c>
      <c r="M192" s="236">
        <f t="shared" si="2"/>
        <v>2020054</v>
      </c>
    </row>
    <row r="193" spans="1:13" x14ac:dyDescent="0.3">
      <c r="A193" s="2">
        <v>2018442</v>
      </c>
      <c r="B193" s="24" t="s">
        <v>946</v>
      </c>
      <c r="C193" s="1" t="s">
        <v>1083</v>
      </c>
      <c r="D193" s="10" t="s">
        <v>1084</v>
      </c>
      <c r="E193" s="27" t="s">
        <v>715</v>
      </c>
      <c r="F193" s="27" t="s">
        <v>715</v>
      </c>
      <c r="G193" s="10" t="s">
        <v>1085</v>
      </c>
      <c r="H193" s="27" t="s">
        <v>715</v>
      </c>
      <c r="I193" s="27">
        <v>807</v>
      </c>
      <c r="J193" s="10">
        <v>598</v>
      </c>
      <c r="K193" s="21">
        <v>43483</v>
      </c>
      <c r="L193" s="24" t="s">
        <v>157</v>
      </c>
      <c r="M193" s="236">
        <f t="shared" si="2"/>
        <v>2018442</v>
      </c>
    </row>
    <row r="194" spans="1:13" x14ac:dyDescent="0.3">
      <c r="A194" s="2">
        <v>2018459</v>
      </c>
      <c r="B194" s="24" t="s">
        <v>1155</v>
      </c>
      <c r="C194" s="1" t="s">
        <v>1175</v>
      </c>
      <c r="D194" s="10" t="s">
        <v>1176</v>
      </c>
      <c r="E194" s="10"/>
      <c r="F194" s="10"/>
      <c r="G194" s="10" t="s">
        <v>1177</v>
      </c>
      <c r="H194" s="27" t="s">
        <v>715</v>
      </c>
      <c r="I194" s="10">
        <v>550</v>
      </c>
      <c r="J194" s="10">
        <v>0</v>
      </c>
      <c r="K194" s="22" t="s">
        <v>1178</v>
      </c>
      <c r="L194" s="24" t="s">
        <v>211</v>
      </c>
      <c r="M194" s="236">
        <f t="shared" si="2"/>
        <v>2018459</v>
      </c>
    </row>
    <row r="195" spans="1:13" x14ac:dyDescent="0.3">
      <c r="A195" s="2">
        <v>2018451</v>
      </c>
      <c r="B195" s="24" t="s">
        <v>364</v>
      </c>
      <c r="C195" s="1" t="s">
        <v>1141</v>
      </c>
      <c r="D195" s="10" t="s">
        <v>1142</v>
      </c>
      <c r="E195" s="27" t="s">
        <v>715</v>
      </c>
      <c r="F195" s="27" t="s">
        <v>715</v>
      </c>
      <c r="G195" s="10" t="s">
        <v>1143</v>
      </c>
      <c r="H195" s="27" t="s">
        <v>715</v>
      </c>
      <c r="I195" s="10">
        <v>500</v>
      </c>
      <c r="J195" s="10">
        <v>500</v>
      </c>
      <c r="K195" s="21">
        <v>43525</v>
      </c>
      <c r="L195" s="24" t="s">
        <v>368</v>
      </c>
      <c r="M195" s="236">
        <f t="shared" ref="M195:M258" si="3">A195</f>
        <v>2018451</v>
      </c>
    </row>
    <row r="196" spans="1:13" x14ac:dyDescent="0.3">
      <c r="A196" s="2">
        <v>2018295</v>
      </c>
      <c r="B196" s="24" t="s">
        <v>125</v>
      </c>
      <c r="C196" s="1" t="s">
        <v>112</v>
      </c>
      <c r="D196" s="10" t="s">
        <v>1020</v>
      </c>
      <c r="E196" s="27" t="s">
        <v>715</v>
      </c>
      <c r="F196" s="27" t="s">
        <v>715</v>
      </c>
      <c r="G196" s="10" t="s">
        <v>1021</v>
      </c>
      <c r="H196" s="27" t="s">
        <v>715</v>
      </c>
      <c r="I196" s="10">
        <v>823</v>
      </c>
      <c r="J196" s="10">
        <v>610</v>
      </c>
      <c r="K196" s="21"/>
      <c r="L196" s="24" t="s">
        <v>157</v>
      </c>
      <c r="M196" s="236">
        <f t="shared" si="3"/>
        <v>2018295</v>
      </c>
    </row>
    <row r="197" spans="1:13" x14ac:dyDescent="0.3">
      <c r="A197" s="2">
        <v>2018090</v>
      </c>
      <c r="B197" s="24" t="s">
        <v>605</v>
      </c>
      <c r="C197" s="1" t="s">
        <v>496</v>
      </c>
      <c r="D197" s="10" t="s">
        <v>497</v>
      </c>
      <c r="E197" s="10" t="s">
        <v>1490</v>
      </c>
      <c r="F197" s="10">
        <v>3134121</v>
      </c>
      <c r="G197" s="10" t="s">
        <v>1491</v>
      </c>
      <c r="H197" s="10">
        <v>2</v>
      </c>
      <c r="I197" s="27" t="s">
        <v>715</v>
      </c>
      <c r="J197" s="27" t="s">
        <v>715</v>
      </c>
      <c r="K197" s="21">
        <v>43481</v>
      </c>
      <c r="L197" s="24" t="s">
        <v>156</v>
      </c>
      <c r="M197" s="236">
        <f t="shared" si="3"/>
        <v>2018090</v>
      </c>
    </row>
    <row r="198" spans="1:13" x14ac:dyDescent="0.3">
      <c r="A198" s="2">
        <v>2018250</v>
      </c>
      <c r="B198" s="58" t="s">
        <v>1794</v>
      </c>
      <c r="C198" s="1" t="s">
        <v>400</v>
      </c>
      <c r="D198" s="10" t="s">
        <v>401</v>
      </c>
      <c r="E198" s="10" t="s">
        <v>402</v>
      </c>
      <c r="F198" s="10">
        <v>3750033</v>
      </c>
      <c r="G198" s="10" t="s">
        <v>403</v>
      </c>
      <c r="H198" s="10">
        <v>2</v>
      </c>
      <c r="I198" s="10">
        <v>1646</v>
      </c>
      <c r="J198" s="10">
        <v>1220</v>
      </c>
      <c r="K198" s="21">
        <v>43480</v>
      </c>
      <c r="L198" s="24" t="s">
        <v>157</v>
      </c>
      <c r="M198" s="236">
        <f t="shared" si="3"/>
        <v>2018250</v>
      </c>
    </row>
    <row r="199" spans="1:13" x14ac:dyDescent="0.3">
      <c r="A199" s="2">
        <v>2018369</v>
      </c>
      <c r="B199" s="24" t="s">
        <v>340</v>
      </c>
      <c r="C199" s="1" t="s">
        <v>422</v>
      </c>
      <c r="D199" s="10" t="s">
        <v>423</v>
      </c>
      <c r="E199" s="10" t="s">
        <v>1511</v>
      </c>
      <c r="F199" s="10">
        <v>4443111</v>
      </c>
      <c r="G199" s="10" t="s">
        <v>1512</v>
      </c>
      <c r="H199" s="27" t="s">
        <v>715</v>
      </c>
      <c r="I199" s="10">
        <v>823</v>
      </c>
      <c r="J199" s="10">
        <v>364</v>
      </c>
      <c r="K199" s="21">
        <v>43481</v>
      </c>
      <c r="L199" s="24" t="s">
        <v>156</v>
      </c>
      <c r="M199" s="236">
        <f t="shared" si="3"/>
        <v>2018369</v>
      </c>
    </row>
    <row r="200" spans="1:13" x14ac:dyDescent="0.3">
      <c r="A200" s="2">
        <v>2018340</v>
      </c>
      <c r="B200" s="24" t="s">
        <v>340</v>
      </c>
      <c r="C200" s="1" t="s">
        <v>250</v>
      </c>
      <c r="D200" s="10" t="s">
        <v>251</v>
      </c>
      <c r="E200" s="27" t="s">
        <v>715</v>
      </c>
      <c r="F200" s="27" t="s">
        <v>715</v>
      </c>
      <c r="G200" s="10" t="s">
        <v>1310</v>
      </c>
      <c r="H200" s="27" t="s">
        <v>715</v>
      </c>
      <c r="I200" s="10">
        <v>839</v>
      </c>
      <c r="J200" s="10">
        <v>371</v>
      </c>
      <c r="K200" s="21">
        <v>43479</v>
      </c>
      <c r="L200" s="24" t="s">
        <v>211</v>
      </c>
      <c r="M200" s="236">
        <f t="shared" si="3"/>
        <v>2018340</v>
      </c>
    </row>
    <row r="201" spans="1:13" x14ac:dyDescent="0.3">
      <c r="A201" s="2">
        <v>2018037</v>
      </c>
      <c r="B201" s="24" t="s">
        <v>317</v>
      </c>
      <c r="C201" s="1" t="s">
        <v>20</v>
      </c>
      <c r="D201" s="10" t="s">
        <v>528</v>
      </c>
      <c r="E201" s="10" t="s">
        <v>529</v>
      </c>
      <c r="F201" s="10">
        <v>3812981</v>
      </c>
      <c r="G201" s="10" t="s">
        <v>530</v>
      </c>
      <c r="H201" s="27" t="s">
        <v>715</v>
      </c>
      <c r="I201" s="27" t="s">
        <v>715</v>
      </c>
      <c r="J201" s="27" t="s">
        <v>715</v>
      </c>
      <c r="K201" s="21">
        <v>43480</v>
      </c>
      <c r="L201" s="24" t="s">
        <v>156</v>
      </c>
      <c r="M201" s="236">
        <f t="shared" si="3"/>
        <v>2018037</v>
      </c>
    </row>
    <row r="202" spans="1:13" x14ac:dyDescent="0.3">
      <c r="A202" s="2">
        <v>2018010</v>
      </c>
      <c r="B202" s="24" t="s">
        <v>317</v>
      </c>
      <c r="C202" s="1" t="s">
        <v>4</v>
      </c>
      <c r="D202" s="10" t="s">
        <v>267</v>
      </c>
      <c r="E202" s="10" t="s">
        <v>1408</v>
      </c>
      <c r="F202" s="10">
        <v>3723436</v>
      </c>
      <c r="G202" s="10" t="s">
        <v>268</v>
      </c>
      <c r="H202" s="10"/>
      <c r="I202" s="10">
        <v>839</v>
      </c>
      <c r="J202" s="10">
        <v>371</v>
      </c>
      <c r="K202" s="21" t="s">
        <v>1271</v>
      </c>
      <c r="L202" s="24" t="s">
        <v>156</v>
      </c>
      <c r="M202" s="236">
        <f t="shared" si="3"/>
        <v>2018010</v>
      </c>
    </row>
    <row r="203" spans="1:13" x14ac:dyDescent="0.3">
      <c r="A203" s="2">
        <v>2018038</v>
      </c>
      <c r="B203" s="24" t="s">
        <v>317</v>
      </c>
      <c r="C203" s="1" t="s">
        <v>21</v>
      </c>
      <c r="D203" s="10" t="s">
        <v>1441</v>
      </c>
      <c r="E203" s="27" t="s">
        <v>715</v>
      </c>
      <c r="F203" s="27" t="s">
        <v>715</v>
      </c>
      <c r="G203" s="10" t="s">
        <v>926</v>
      </c>
      <c r="H203" s="27" t="s">
        <v>715</v>
      </c>
      <c r="I203" s="10">
        <v>823</v>
      </c>
      <c r="J203" s="10">
        <v>364</v>
      </c>
      <c r="K203" s="21">
        <v>43480</v>
      </c>
      <c r="L203" s="24" t="s">
        <v>156</v>
      </c>
      <c r="M203" s="236">
        <f t="shared" si="3"/>
        <v>2018038</v>
      </c>
    </row>
    <row r="204" spans="1:13" x14ac:dyDescent="0.3">
      <c r="A204" s="2">
        <v>2020013</v>
      </c>
      <c r="B204" s="24" t="s">
        <v>201</v>
      </c>
      <c r="C204" s="1" t="s">
        <v>1353</v>
      </c>
      <c r="D204" s="10" t="s">
        <v>1354</v>
      </c>
      <c r="E204" s="10" t="s">
        <v>1355</v>
      </c>
      <c r="F204" s="10">
        <v>974626</v>
      </c>
      <c r="G204" s="10" t="s">
        <v>1356</v>
      </c>
      <c r="H204" s="10"/>
      <c r="I204" s="10">
        <v>839</v>
      </c>
      <c r="J204" s="10">
        <v>371</v>
      </c>
      <c r="K204" s="22"/>
      <c r="L204" s="24" t="s">
        <v>211</v>
      </c>
      <c r="M204" s="236">
        <f t="shared" si="3"/>
        <v>2020013</v>
      </c>
    </row>
    <row r="205" spans="1:13" x14ac:dyDescent="0.3">
      <c r="A205" s="2">
        <v>2018352</v>
      </c>
      <c r="B205" s="24" t="s">
        <v>201</v>
      </c>
      <c r="C205" s="1" t="s">
        <v>325</v>
      </c>
      <c r="D205" s="10" t="s">
        <v>326</v>
      </c>
      <c r="E205" s="27" t="s">
        <v>715</v>
      </c>
      <c r="F205" s="27" t="s">
        <v>715</v>
      </c>
      <c r="G205" s="10" t="s">
        <v>327</v>
      </c>
      <c r="H205" s="10"/>
      <c r="I205" s="10">
        <v>823</v>
      </c>
      <c r="J205" s="10">
        <v>364</v>
      </c>
      <c r="K205" s="21">
        <v>43480</v>
      </c>
      <c r="L205" s="24" t="s">
        <v>211</v>
      </c>
      <c r="M205" s="236">
        <f t="shared" si="3"/>
        <v>2018352</v>
      </c>
    </row>
    <row r="206" spans="1:13" x14ac:dyDescent="0.3">
      <c r="A206" s="2">
        <v>2018311</v>
      </c>
      <c r="B206" s="24" t="s">
        <v>130</v>
      </c>
      <c r="C206" s="1" t="s">
        <v>120</v>
      </c>
      <c r="D206" s="10" t="s">
        <v>781</v>
      </c>
      <c r="E206" s="27" t="s">
        <v>715</v>
      </c>
      <c r="F206" s="27" t="s">
        <v>715</v>
      </c>
      <c r="G206" s="10" t="s">
        <v>782</v>
      </c>
      <c r="H206" s="27" t="s">
        <v>715</v>
      </c>
      <c r="I206" s="27" t="s">
        <v>715</v>
      </c>
      <c r="J206" s="27" t="s">
        <v>715</v>
      </c>
      <c r="K206" s="21"/>
      <c r="L206" s="24" t="s">
        <v>157</v>
      </c>
      <c r="M206" s="236">
        <f t="shared" si="3"/>
        <v>2018311</v>
      </c>
    </row>
    <row r="207" spans="1:13" x14ac:dyDescent="0.3">
      <c r="A207" s="2">
        <v>2018390</v>
      </c>
      <c r="B207" s="24" t="s">
        <v>946</v>
      </c>
      <c r="C207" s="1" t="s">
        <v>622</v>
      </c>
      <c r="D207" s="10" t="s">
        <v>623</v>
      </c>
      <c r="E207" s="10" t="s">
        <v>1824</v>
      </c>
      <c r="F207" s="10">
        <v>3801881011</v>
      </c>
      <c r="G207" s="10" t="s">
        <v>624</v>
      </c>
      <c r="H207" s="10"/>
      <c r="I207" s="10">
        <v>823</v>
      </c>
      <c r="J207" s="10">
        <v>610</v>
      </c>
      <c r="K207" s="21"/>
      <c r="L207" s="24" t="s">
        <v>157</v>
      </c>
      <c r="M207" s="236">
        <f t="shared" si="3"/>
        <v>2018390</v>
      </c>
    </row>
    <row r="208" spans="1:13" x14ac:dyDescent="0.3">
      <c r="A208" s="2">
        <v>2018011</v>
      </c>
      <c r="B208" s="24" t="s">
        <v>53</v>
      </c>
      <c r="C208" s="1" t="s">
        <v>5</v>
      </c>
      <c r="D208" s="10" t="s">
        <v>542</v>
      </c>
      <c r="E208" s="10" t="s">
        <v>252</v>
      </c>
      <c r="F208" s="10" t="s">
        <v>252</v>
      </c>
      <c r="G208" s="10" t="s">
        <v>543</v>
      </c>
      <c r="H208" s="10"/>
      <c r="I208" s="10">
        <v>807</v>
      </c>
      <c r="J208" s="10">
        <v>357</v>
      </c>
      <c r="K208" s="21" t="s">
        <v>1424</v>
      </c>
      <c r="L208" s="24" t="s">
        <v>156</v>
      </c>
      <c r="M208" s="236">
        <f t="shared" si="3"/>
        <v>2018011</v>
      </c>
    </row>
    <row r="209" spans="1:13" x14ac:dyDescent="0.3">
      <c r="A209" s="61">
        <v>2018251</v>
      </c>
      <c r="B209" s="24" t="s">
        <v>1283</v>
      </c>
      <c r="C209" s="1" t="s">
        <v>96</v>
      </c>
      <c r="D209" s="10" t="s">
        <v>955</v>
      </c>
      <c r="E209" s="10" t="s">
        <v>956</v>
      </c>
      <c r="F209" s="10">
        <v>3740706</v>
      </c>
      <c r="G209" s="10" t="s">
        <v>957</v>
      </c>
      <c r="H209" s="27" t="s">
        <v>715</v>
      </c>
      <c r="I209" s="10">
        <v>823</v>
      </c>
      <c r="J209" s="10">
        <v>610</v>
      </c>
      <c r="K209" s="21"/>
      <c r="L209" s="24" t="s">
        <v>157</v>
      </c>
      <c r="M209" s="236">
        <f t="shared" si="3"/>
        <v>2018251</v>
      </c>
    </row>
    <row r="210" spans="1:13" x14ac:dyDescent="0.3">
      <c r="A210" s="2">
        <v>2018112</v>
      </c>
      <c r="B210" s="24" t="s">
        <v>982</v>
      </c>
      <c r="C210" s="3" t="s">
        <v>55</v>
      </c>
      <c r="D210" s="10" t="s">
        <v>319</v>
      </c>
      <c r="E210" s="27" t="s">
        <v>1603</v>
      </c>
      <c r="F210" s="27">
        <v>4502793</v>
      </c>
      <c r="G210" s="10" t="s">
        <v>1604</v>
      </c>
      <c r="H210" s="27" t="s">
        <v>715</v>
      </c>
      <c r="I210" s="10">
        <v>823</v>
      </c>
      <c r="J210" s="10">
        <v>364</v>
      </c>
      <c r="K210" s="21">
        <v>43483</v>
      </c>
      <c r="L210" s="24" t="s">
        <v>156</v>
      </c>
      <c r="M210" s="236">
        <f t="shared" si="3"/>
        <v>2018112</v>
      </c>
    </row>
    <row r="211" spans="1:13" x14ac:dyDescent="0.3">
      <c r="A211" s="2">
        <v>2020073</v>
      </c>
      <c r="B211" s="24" t="s">
        <v>1860</v>
      </c>
      <c r="C211" s="1" t="s">
        <v>1861</v>
      </c>
      <c r="D211" s="10" t="s">
        <v>1862</v>
      </c>
      <c r="E211" s="10" t="s">
        <v>1863</v>
      </c>
      <c r="F211" s="10">
        <v>5246800016</v>
      </c>
      <c r="G211" s="10" t="s">
        <v>1864</v>
      </c>
      <c r="H211" s="10">
        <v>2</v>
      </c>
      <c r="I211" s="10">
        <v>1646</v>
      </c>
      <c r="J211" s="10">
        <v>728</v>
      </c>
      <c r="K211" s="22"/>
      <c r="L211" s="24" t="s">
        <v>156</v>
      </c>
      <c r="M211" s="236">
        <f t="shared" si="3"/>
        <v>2020073</v>
      </c>
    </row>
    <row r="212" spans="1:13" x14ac:dyDescent="0.3">
      <c r="A212" s="2">
        <v>2020042</v>
      </c>
      <c r="B212" s="24" t="s">
        <v>201</v>
      </c>
      <c r="C212" s="1" t="s">
        <v>1612</v>
      </c>
      <c r="D212" s="10" t="s">
        <v>1613</v>
      </c>
      <c r="E212" s="10" t="s">
        <v>1614</v>
      </c>
      <c r="F212" s="10">
        <v>4953458012</v>
      </c>
      <c r="G212" s="10">
        <v>70341385</v>
      </c>
      <c r="H212" s="27" t="s">
        <v>715</v>
      </c>
      <c r="I212" s="10">
        <v>823</v>
      </c>
      <c r="J212" s="10">
        <v>364</v>
      </c>
      <c r="K212" s="22"/>
      <c r="L212" s="24" t="s">
        <v>211</v>
      </c>
      <c r="M212" s="236">
        <f t="shared" si="3"/>
        <v>2020042</v>
      </c>
    </row>
    <row r="213" spans="1:13" x14ac:dyDescent="0.3">
      <c r="A213" s="2">
        <v>2018091</v>
      </c>
      <c r="B213" s="24" t="s">
        <v>1818</v>
      </c>
      <c r="C213" s="1" t="s">
        <v>1941</v>
      </c>
      <c r="D213" s="10" t="s">
        <v>1080</v>
      </c>
      <c r="E213" s="27" t="s">
        <v>715</v>
      </c>
      <c r="F213" s="27" t="s">
        <v>715</v>
      </c>
      <c r="G213" s="10" t="s">
        <v>1081</v>
      </c>
      <c r="H213" s="10">
        <v>4</v>
      </c>
      <c r="I213" s="27" t="s">
        <v>715</v>
      </c>
      <c r="J213" s="27" t="s">
        <v>715</v>
      </c>
      <c r="K213" s="21"/>
      <c r="L213" s="24" t="s">
        <v>910</v>
      </c>
      <c r="M213" s="236">
        <f t="shared" si="3"/>
        <v>2018091</v>
      </c>
    </row>
    <row r="214" spans="1:13" x14ac:dyDescent="0.3">
      <c r="A214" s="2">
        <v>2018092</v>
      </c>
      <c r="B214" s="24" t="s">
        <v>545</v>
      </c>
      <c r="C214" s="1" t="s">
        <v>544</v>
      </c>
      <c r="D214" s="10" t="s">
        <v>546</v>
      </c>
      <c r="E214" s="10" t="s">
        <v>547</v>
      </c>
      <c r="F214" s="10">
        <v>3629422</v>
      </c>
      <c r="G214" s="10" t="s">
        <v>548</v>
      </c>
      <c r="H214" s="10">
        <v>2</v>
      </c>
      <c r="I214" s="10" t="s">
        <v>252</v>
      </c>
      <c r="J214" s="10" t="s">
        <v>252</v>
      </c>
      <c r="K214" s="21">
        <v>43482</v>
      </c>
      <c r="L214" s="24" t="s">
        <v>280</v>
      </c>
      <c r="M214" s="236">
        <f t="shared" si="3"/>
        <v>2018092</v>
      </c>
    </row>
    <row r="215" spans="1:13" x14ac:dyDescent="0.3">
      <c r="A215" s="2">
        <v>2018341</v>
      </c>
      <c r="B215" s="24" t="s">
        <v>340</v>
      </c>
      <c r="C215" s="1" t="s">
        <v>255</v>
      </c>
      <c r="D215" s="10" t="s">
        <v>256</v>
      </c>
      <c r="E215" s="10" t="s">
        <v>257</v>
      </c>
      <c r="F215" s="10">
        <v>4380587</v>
      </c>
      <c r="G215" s="10" t="s">
        <v>1331</v>
      </c>
      <c r="H215" s="27" t="s">
        <v>715</v>
      </c>
      <c r="I215" s="10">
        <v>839</v>
      </c>
      <c r="J215" s="10">
        <v>371</v>
      </c>
      <c r="K215" s="21">
        <v>43479</v>
      </c>
      <c r="L215" s="24" t="s">
        <v>156</v>
      </c>
      <c r="M215" s="236">
        <f t="shared" si="3"/>
        <v>2018341</v>
      </c>
    </row>
    <row r="216" spans="1:13" x14ac:dyDescent="0.3">
      <c r="A216" s="2">
        <v>2018012</v>
      </c>
      <c r="B216" s="24" t="s">
        <v>1758</v>
      </c>
      <c r="C216" s="1" t="s">
        <v>466</v>
      </c>
      <c r="D216" s="10" t="s">
        <v>467</v>
      </c>
      <c r="E216" s="10" t="s">
        <v>468</v>
      </c>
      <c r="F216" s="10">
        <v>4501909</v>
      </c>
      <c r="G216" s="10" t="s">
        <v>469</v>
      </c>
      <c r="H216" s="10">
        <v>3</v>
      </c>
      <c r="I216" s="10"/>
      <c r="J216" s="10"/>
      <c r="K216" s="21"/>
      <c r="L216" s="24" t="s">
        <v>156</v>
      </c>
      <c r="M216" s="236">
        <f t="shared" si="3"/>
        <v>2018012</v>
      </c>
    </row>
    <row r="217" spans="1:13" x14ac:dyDescent="0.3">
      <c r="A217" s="2">
        <v>2020030</v>
      </c>
      <c r="B217" s="24" t="s">
        <v>216</v>
      </c>
      <c r="C217" s="1" t="s">
        <v>1479</v>
      </c>
      <c r="D217" s="10" t="s">
        <v>1480</v>
      </c>
      <c r="E217" s="27" t="s">
        <v>715</v>
      </c>
      <c r="F217" s="27" t="s">
        <v>715</v>
      </c>
      <c r="G217" s="10" t="s">
        <v>1481</v>
      </c>
      <c r="H217" s="27" t="s">
        <v>715</v>
      </c>
      <c r="I217" s="10">
        <v>823</v>
      </c>
      <c r="J217" s="10">
        <v>364</v>
      </c>
      <c r="K217" s="22"/>
      <c r="L217" s="24" t="s">
        <v>211</v>
      </c>
      <c r="M217" s="236">
        <f t="shared" si="3"/>
        <v>2020030</v>
      </c>
    </row>
    <row r="218" spans="1:13" x14ac:dyDescent="0.3">
      <c r="A218" s="2">
        <v>2018358</v>
      </c>
      <c r="B218" s="24" t="s">
        <v>1630</v>
      </c>
      <c r="C218" s="1" t="s">
        <v>356</v>
      </c>
      <c r="D218" s="10" t="s">
        <v>357</v>
      </c>
      <c r="E218" s="27" t="s">
        <v>715</v>
      </c>
      <c r="F218" s="27" t="s">
        <v>715</v>
      </c>
      <c r="G218" s="10" t="s">
        <v>358</v>
      </c>
      <c r="H218" s="10"/>
      <c r="I218" s="27">
        <v>1675</v>
      </c>
      <c r="J218" s="27" t="s">
        <v>715</v>
      </c>
      <c r="K218" s="21">
        <v>43480</v>
      </c>
      <c r="L218" s="24" t="s">
        <v>156</v>
      </c>
      <c r="M218" s="236">
        <f t="shared" si="3"/>
        <v>2018358</v>
      </c>
    </row>
    <row r="219" spans="1:13" x14ac:dyDescent="0.3">
      <c r="A219" s="2">
        <v>2018039</v>
      </c>
      <c r="B219" s="24" t="s">
        <v>317</v>
      </c>
      <c r="C219" s="1" t="s">
        <v>22</v>
      </c>
      <c r="D219" s="10" t="s">
        <v>690</v>
      </c>
      <c r="E219" s="10" t="s">
        <v>1576</v>
      </c>
      <c r="F219" s="10">
        <v>6451980016</v>
      </c>
      <c r="G219" s="10" t="s">
        <v>691</v>
      </c>
      <c r="H219" s="10"/>
      <c r="I219" s="10">
        <v>823</v>
      </c>
      <c r="J219" s="10">
        <v>364</v>
      </c>
      <c r="K219" s="21">
        <v>43483</v>
      </c>
      <c r="L219" s="24" t="s">
        <v>156</v>
      </c>
      <c r="M219" s="236">
        <f t="shared" si="3"/>
        <v>2018039</v>
      </c>
    </row>
    <row r="220" spans="1:13" x14ac:dyDescent="0.3">
      <c r="A220" s="2">
        <v>2018406</v>
      </c>
      <c r="B220" s="24" t="s">
        <v>108</v>
      </c>
      <c r="C220" s="1" t="s">
        <v>817</v>
      </c>
      <c r="D220" s="10" t="s">
        <v>818</v>
      </c>
      <c r="E220" s="10" t="s">
        <v>819</v>
      </c>
      <c r="F220" s="10">
        <v>5253482017</v>
      </c>
      <c r="G220" s="10" t="s">
        <v>820</v>
      </c>
      <c r="H220" s="27" t="s">
        <v>715</v>
      </c>
      <c r="I220" s="10">
        <v>807</v>
      </c>
      <c r="J220" s="10">
        <v>598</v>
      </c>
      <c r="K220" s="21">
        <v>43483</v>
      </c>
      <c r="L220" s="24" t="s">
        <v>157</v>
      </c>
      <c r="M220" s="236">
        <f t="shared" si="3"/>
        <v>2018406</v>
      </c>
    </row>
    <row r="221" spans="1:13" x14ac:dyDescent="0.3">
      <c r="A221" s="2">
        <v>2018458</v>
      </c>
      <c r="B221" s="24" t="s">
        <v>317</v>
      </c>
      <c r="C221" s="1" t="s">
        <v>1171</v>
      </c>
      <c r="D221" s="10" t="s">
        <v>1442</v>
      </c>
      <c r="E221" s="10" t="s">
        <v>1172</v>
      </c>
      <c r="F221" s="10">
        <v>3588886</v>
      </c>
      <c r="G221" s="10" t="s">
        <v>1173</v>
      </c>
      <c r="H221" s="27" t="s">
        <v>715</v>
      </c>
      <c r="I221" s="10">
        <v>823</v>
      </c>
      <c r="J221" s="10">
        <v>364</v>
      </c>
      <c r="K221" s="29" t="s">
        <v>1174</v>
      </c>
      <c r="L221" s="24" t="s">
        <v>156</v>
      </c>
      <c r="M221" s="236">
        <f t="shared" si="3"/>
        <v>2018458</v>
      </c>
    </row>
    <row r="222" spans="1:13" x14ac:dyDescent="0.3">
      <c r="A222" s="2">
        <v>2018113</v>
      </c>
      <c r="B222" s="24" t="s">
        <v>1260</v>
      </c>
      <c r="C222" s="1" t="s">
        <v>1259</v>
      </c>
      <c r="D222" s="10" t="s">
        <v>410</v>
      </c>
      <c r="E222" s="10" t="s">
        <v>252</v>
      </c>
      <c r="F222" s="10" t="s">
        <v>252</v>
      </c>
      <c r="G222" s="10" t="s">
        <v>411</v>
      </c>
      <c r="H222" s="10">
        <v>1</v>
      </c>
      <c r="I222" s="10"/>
      <c r="J222" s="10"/>
      <c r="K222" s="21">
        <v>43850</v>
      </c>
      <c r="L222" s="24" t="s">
        <v>157</v>
      </c>
      <c r="M222" s="236">
        <f t="shared" si="3"/>
        <v>2018113</v>
      </c>
    </row>
    <row r="223" spans="1:13" x14ac:dyDescent="0.3">
      <c r="A223" s="2">
        <v>2020031</v>
      </c>
      <c r="B223" s="24" t="s">
        <v>216</v>
      </c>
      <c r="C223" s="1" t="s">
        <v>1487</v>
      </c>
      <c r="D223" s="10" t="s">
        <v>1488</v>
      </c>
      <c r="E223" s="27" t="s">
        <v>715</v>
      </c>
      <c r="F223" s="27" t="s">
        <v>715</v>
      </c>
      <c r="G223" s="10" t="s">
        <v>1489</v>
      </c>
      <c r="H223" s="27" t="s">
        <v>715</v>
      </c>
      <c r="I223" s="10">
        <v>823</v>
      </c>
      <c r="J223" s="10">
        <v>364</v>
      </c>
      <c r="K223" s="22"/>
      <c r="L223" s="24" t="s">
        <v>211</v>
      </c>
      <c r="M223" s="236">
        <f t="shared" si="3"/>
        <v>2020031</v>
      </c>
    </row>
    <row r="224" spans="1:13" x14ac:dyDescent="0.3">
      <c r="A224" s="2">
        <v>2018343</v>
      </c>
      <c r="B224" s="24" t="s">
        <v>340</v>
      </c>
      <c r="C224" s="1" t="s">
        <v>269</v>
      </c>
      <c r="D224" s="10" t="s">
        <v>270</v>
      </c>
      <c r="E224" s="10" t="s">
        <v>271</v>
      </c>
      <c r="F224" s="10">
        <v>5066944</v>
      </c>
      <c r="G224" s="10" t="s">
        <v>272</v>
      </c>
      <c r="H224" s="10"/>
      <c r="I224" s="10">
        <v>839</v>
      </c>
      <c r="J224" s="10">
        <v>371</v>
      </c>
      <c r="K224" s="21">
        <v>43480</v>
      </c>
      <c r="L224" s="24" t="s">
        <v>156</v>
      </c>
      <c r="M224" s="236">
        <f t="shared" si="3"/>
        <v>2018343</v>
      </c>
    </row>
    <row r="225" spans="1:13" x14ac:dyDescent="0.3">
      <c r="A225" s="2">
        <v>2018253</v>
      </c>
      <c r="B225" s="24" t="s">
        <v>1295</v>
      </c>
      <c r="C225" s="1" t="s">
        <v>97</v>
      </c>
      <c r="D225" s="10" t="s">
        <v>324</v>
      </c>
      <c r="E225" s="10" t="s">
        <v>1325</v>
      </c>
      <c r="F225" s="10">
        <v>8014932</v>
      </c>
      <c r="G225" s="10" t="s">
        <v>1326</v>
      </c>
      <c r="H225" s="10"/>
      <c r="I225" s="10">
        <v>839</v>
      </c>
      <c r="J225" s="10">
        <v>371</v>
      </c>
      <c r="K225" s="21">
        <v>43480</v>
      </c>
      <c r="L225" s="24" t="s">
        <v>157</v>
      </c>
      <c r="M225" s="236">
        <f t="shared" si="3"/>
        <v>2018253</v>
      </c>
    </row>
    <row r="226" spans="1:13" x14ac:dyDescent="0.3">
      <c r="A226" s="2">
        <v>2018296</v>
      </c>
      <c r="B226" s="24" t="s">
        <v>116</v>
      </c>
      <c r="C226" s="1" t="s">
        <v>113</v>
      </c>
      <c r="D226" s="10" t="s">
        <v>928</v>
      </c>
      <c r="E226" s="10"/>
      <c r="F226" s="10"/>
      <c r="G226" s="10"/>
      <c r="H226" s="10"/>
      <c r="I226" s="10"/>
      <c r="J226" s="10"/>
      <c r="K226" s="21">
        <v>43481</v>
      </c>
      <c r="L226" s="24" t="s">
        <v>157</v>
      </c>
      <c r="M226" s="236">
        <f t="shared" si="3"/>
        <v>2018296</v>
      </c>
    </row>
    <row r="227" spans="1:13" x14ac:dyDescent="0.3">
      <c r="A227" s="2">
        <v>2018040</v>
      </c>
      <c r="B227" s="24" t="s">
        <v>43</v>
      </c>
      <c r="C227" s="1" t="s">
        <v>23</v>
      </c>
      <c r="D227" s="10" t="s">
        <v>1022</v>
      </c>
      <c r="E227" s="27" t="s">
        <v>715</v>
      </c>
      <c r="F227" s="27" t="s">
        <v>715</v>
      </c>
      <c r="G227" s="10" t="s">
        <v>1023</v>
      </c>
      <c r="H227" s="27" t="s">
        <v>715</v>
      </c>
      <c r="I227" s="10">
        <v>807</v>
      </c>
      <c r="J227" s="10">
        <v>357</v>
      </c>
      <c r="K227" s="21">
        <v>43480</v>
      </c>
      <c r="L227" s="24" t="s">
        <v>156</v>
      </c>
      <c r="M227" s="236">
        <f t="shared" si="3"/>
        <v>2018040</v>
      </c>
    </row>
    <row r="228" spans="1:13" x14ac:dyDescent="0.3">
      <c r="A228" s="2">
        <v>2018460</v>
      </c>
      <c r="B228" s="24" t="s">
        <v>125</v>
      </c>
      <c r="C228" s="1" t="s">
        <v>1179</v>
      </c>
      <c r="D228" s="10" t="s">
        <v>1180</v>
      </c>
      <c r="E228" s="10" t="s">
        <v>1181</v>
      </c>
      <c r="F228" s="10">
        <v>2371653016</v>
      </c>
      <c r="G228" s="10" t="s">
        <v>1611</v>
      </c>
      <c r="H228" s="27" t="s">
        <v>715</v>
      </c>
      <c r="I228" s="10">
        <v>823</v>
      </c>
      <c r="J228" s="10">
        <v>364</v>
      </c>
      <c r="K228" s="22" t="s">
        <v>1178</v>
      </c>
      <c r="L228" s="24" t="s">
        <v>157</v>
      </c>
      <c r="M228" s="236">
        <f t="shared" si="3"/>
        <v>2018460</v>
      </c>
    </row>
    <row r="229" spans="1:13" x14ac:dyDescent="0.3">
      <c r="A229" s="2">
        <v>2018263</v>
      </c>
      <c r="B229" s="24" t="s">
        <v>108</v>
      </c>
      <c r="C229" s="1" t="s">
        <v>100</v>
      </c>
      <c r="D229" s="10" t="s">
        <v>440</v>
      </c>
      <c r="E229" s="10" t="s">
        <v>441</v>
      </c>
      <c r="F229" s="10">
        <v>924725</v>
      </c>
      <c r="G229" s="10" t="s">
        <v>442</v>
      </c>
      <c r="H229" s="10"/>
      <c r="I229" s="10">
        <v>823</v>
      </c>
      <c r="J229" s="10">
        <v>610</v>
      </c>
      <c r="K229" s="21"/>
      <c r="L229" s="24" t="s">
        <v>157</v>
      </c>
      <c r="M229" s="236">
        <f t="shared" si="3"/>
        <v>2018263</v>
      </c>
    </row>
    <row r="230" spans="1:13" x14ac:dyDescent="0.3">
      <c r="A230" s="2">
        <v>2018181</v>
      </c>
      <c r="B230" s="24" t="s">
        <v>458</v>
      </c>
      <c r="C230" s="1" t="s">
        <v>75</v>
      </c>
      <c r="D230" s="10" t="s">
        <v>739</v>
      </c>
      <c r="E230" s="27" t="s">
        <v>1610</v>
      </c>
      <c r="F230" s="27">
        <v>5171920010</v>
      </c>
      <c r="G230" s="10" t="s">
        <v>740</v>
      </c>
      <c r="H230" s="27" t="s">
        <v>715</v>
      </c>
      <c r="I230" s="10">
        <v>523</v>
      </c>
      <c r="J230" s="10">
        <v>364</v>
      </c>
      <c r="K230" s="21">
        <v>43483</v>
      </c>
      <c r="L230" s="24" t="s">
        <v>156</v>
      </c>
      <c r="M230" s="236">
        <f t="shared" si="3"/>
        <v>2018181</v>
      </c>
    </row>
    <row r="231" spans="1:13" x14ac:dyDescent="0.3">
      <c r="A231" s="2">
        <v>2018384</v>
      </c>
      <c r="B231" s="24" t="s">
        <v>201</v>
      </c>
      <c r="C231" s="1" t="s">
        <v>556</v>
      </c>
      <c r="D231" s="10" t="s">
        <v>557</v>
      </c>
      <c r="E231" s="10" t="s">
        <v>554</v>
      </c>
      <c r="F231" s="10">
        <v>3765324</v>
      </c>
      <c r="G231" s="10" t="s">
        <v>558</v>
      </c>
      <c r="H231" s="10"/>
      <c r="I231" s="10">
        <v>823</v>
      </c>
      <c r="J231" s="10">
        <v>364</v>
      </c>
      <c r="K231" s="21">
        <v>43482</v>
      </c>
      <c r="L231" s="24" t="s">
        <v>211</v>
      </c>
      <c r="M231" s="236">
        <f t="shared" si="3"/>
        <v>2018384</v>
      </c>
    </row>
    <row r="232" spans="1:13" x14ac:dyDescent="0.3">
      <c r="A232" s="2">
        <v>2018431</v>
      </c>
      <c r="B232" s="24" t="s">
        <v>328</v>
      </c>
      <c r="C232" s="1" t="s">
        <v>1048</v>
      </c>
      <c r="D232" s="10" t="s">
        <v>1573</v>
      </c>
      <c r="E232" s="27" t="s">
        <v>1574</v>
      </c>
      <c r="F232" s="27">
        <v>6113121</v>
      </c>
      <c r="G232" s="10" t="s">
        <v>1049</v>
      </c>
      <c r="H232" s="27" t="s">
        <v>715</v>
      </c>
      <c r="I232" s="10">
        <v>823</v>
      </c>
      <c r="J232" s="10">
        <v>364</v>
      </c>
      <c r="K232" s="21">
        <v>43483</v>
      </c>
      <c r="L232" s="24" t="s">
        <v>156</v>
      </c>
      <c r="M232" s="236">
        <f t="shared" si="3"/>
        <v>2018431</v>
      </c>
    </row>
    <row r="233" spans="1:13" x14ac:dyDescent="0.3">
      <c r="A233" s="2">
        <v>2018446</v>
      </c>
      <c r="B233" s="24" t="s">
        <v>340</v>
      </c>
      <c r="C233" s="1" t="s">
        <v>1115</v>
      </c>
      <c r="D233" s="10" t="s">
        <v>1116</v>
      </c>
      <c r="E233" s="10" t="s">
        <v>1117</v>
      </c>
      <c r="F233" s="10">
        <v>4284791</v>
      </c>
      <c r="G233" s="10" t="s">
        <v>1118</v>
      </c>
      <c r="H233" s="27" t="s">
        <v>715</v>
      </c>
      <c r="I233" s="10">
        <v>823</v>
      </c>
      <c r="J233" s="10">
        <v>364</v>
      </c>
      <c r="K233" s="21"/>
      <c r="L233" s="24" t="s">
        <v>156</v>
      </c>
      <c r="M233" s="236">
        <f t="shared" si="3"/>
        <v>2018446</v>
      </c>
    </row>
    <row r="234" spans="1:13" x14ac:dyDescent="0.3">
      <c r="A234" s="2">
        <v>2018402</v>
      </c>
      <c r="B234" s="24" t="s">
        <v>201</v>
      </c>
      <c r="C234" s="1" t="s">
        <v>778</v>
      </c>
      <c r="D234" s="10" t="s">
        <v>779</v>
      </c>
      <c r="E234" s="27" t="s">
        <v>715</v>
      </c>
      <c r="F234" s="27" t="s">
        <v>715</v>
      </c>
      <c r="G234" s="10" t="s">
        <v>780</v>
      </c>
      <c r="H234" s="27" t="s">
        <v>715</v>
      </c>
      <c r="I234" s="10">
        <v>807</v>
      </c>
      <c r="J234" s="10">
        <v>357</v>
      </c>
      <c r="K234" s="21">
        <v>43483</v>
      </c>
      <c r="L234" s="24" t="s">
        <v>211</v>
      </c>
      <c r="M234" s="236">
        <f t="shared" si="3"/>
        <v>2018402</v>
      </c>
    </row>
    <row r="235" spans="1:13" x14ac:dyDescent="0.3">
      <c r="A235" s="2">
        <v>2018264</v>
      </c>
      <c r="B235" s="24" t="s">
        <v>108</v>
      </c>
      <c r="C235" s="1" t="s">
        <v>101</v>
      </c>
      <c r="D235" s="10" t="s">
        <v>1399</v>
      </c>
      <c r="E235" s="27" t="s">
        <v>715</v>
      </c>
      <c r="F235" s="27" t="s">
        <v>715</v>
      </c>
      <c r="G235" s="10" t="s">
        <v>1400</v>
      </c>
      <c r="H235" s="27" t="s">
        <v>715</v>
      </c>
      <c r="I235" s="27" t="s">
        <v>715</v>
      </c>
      <c r="J235" s="27" t="s">
        <v>715</v>
      </c>
      <c r="K235" s="21">
        <v>43483</v>
      </c>
      <c r="L235" s="24" t="s">
        <v>157</v>
      </c>
      <c r="M235" s="236">
        <f t="shared" si="3"/>
        <v>2018264</v>
      </c>
    </row>
    <row r="236" spans="1:13" x14ac:dyDescent="0.3">
      <c r="A236" s="2">
        <v>2018041</v>
      </c>
      <c r="B236" s="24" t="s">
        <v>1468</v>
      </c>
      <c r="C236" s="1" t="s">
        <v>559</v>
      </c>
      <c r="D236" s="10" t="s">
        <v>561</v>
      </c>
      <c r="E236" s="10" t="s">
        <v>562</v>
      </c>
      <c r="F236" s="10">
        <v>3731305011</v>
      </c>
      <c r="G236" s="10" t="s">
        <v>563</v>
      </c>
      <c r="H236" s="10">
        <v>2</v>
      </c>
      <c r="I236" s="10" t="s">
        <v>1447</v>
      </c>
      <c r="J236" s="10" t="s">
        <v>1448</v>
      </c>
      <c r="K236" s="21">
        <v>43482</v>
      </c>
      <c r="L236" s="24" t="s">
        <v>156</v>
      </c>
      <c r="M236" s="236">
        <f t="shared" si="3"/>
        <v>2018041</v>
      </c>
    </row>
    <row r="237" spans="1:13" x14ac:dyDescent="0.3">
      <c r="A237" s="2">
        <v>2018452</v>
      </c>
      <c r="B237" s="24" t="s">
        <v>340</v>
      </c>
      <c r="C237" s="1" t="s">
        <v>1146</v>
      </c>
      <c r="D237" s="10" t="s">
        <v>1147</v>
      </c>
      <c r="E237" s="27" t="s">
        <v>1313</v>
      </c>
      <c r="F237" s="27">
        <v>3569505</v>
      </c>
      <c r="G237" s="10" t="s">
        <v>1314</v>
      </c>
      <c r="H237" s="27" t="s">
        <v>715</v>
      </c>
      <c r="I237" s="10">
        <v>839</v>
      </c>
      <c r="J237" s="10">
        <v>371</v>
      </c>
      <c r="K237" s="21">
        <v>43525</v>
      </c>
      <c r="L237" s="24" t="s">
        <v>156</v>
      </c>
      <c r="M237" s="236">
        <f t="shared" si="3"/>
        <v>2018452</v>
      </c>
    </row>
    <row r="238" spans="1:13" x14ac:dyDescent="0.3">
      <c r="A238" s="2">
        <v>2018094</v>
      </c>
      <c r="B238" s="24" t="s">
        <v>454</v>
      </c>
      <c r="C238" s="1" t="s">
        <v>50</v>
      </c>
      <c r="D238" s="10" t="s">
        <v>372</v>
      </c>
      <c r="E238" s="10" t="s">
        <v>1341</v>
      </c>
      <c r="F238" s="10">
        <v>3816436013</v>
      </c>
      <c r="G238" s="10" t="s">
        <v>1342</v>
      </c>
      <c r="H238" s="10"/>
      <c r="I238" s="10">
        <v>839</v>
      </c>
      <c r="J238" s="10">
        <v>371</v>
      </c>
      <c r="K238" s="21">
        <v>43480</v>
      </c>
      <c r="L238" s="24" t="s">
        <v>156</v>
      </c>
      <c r="M238" s="236">
        <f t="shared" si="3"/>
        <v>2018094</v>
      </c>
    </row>
    <row r="239" spans="1:13" x14ac:dyDescent="0.3">
      <c r="A239" s="2">
        <v>2020018</v>
      </c>
      <c r="B239" s="24" t="s">
        <v>340</v>
      </c>
      <c r="C239" s="1" t="s">
        <v>1380</v>
      </c>
      <c r="D239" s="10" t="s">
        <v>1381</v>
      </c>
      <c r="E239" s="10" t="s">
        <v>1382</v>
      </c>
      <c r="F239" s="10">
        <v>3396236</v>
      </c>
      <c r="G239" s="10" t="s">
        <v>1383</v>
      </c>
      <c r="H239" s="27" t="s">
        <v>715</v>
      </c>
      <c r="I239" s="10">
        <v>839</v>
      </c>
      <c r="J239" s="10">
        <v>371</v>
      </c>
      <c r="K239" s="22"/>
      <c r="L239" s="24" t="s">
        <v>156</v>
      </c>
      <c r="M239" s="236">
        <f t="shared" si="3"/>
        <v>2020018</v>
      </c>
    </row>
    <row r="240" spans="1:13" x14ac:dyDescent="0.3">
      <c r="A240" s="2">
        <v>2018114</v>
      </c>
      <c r="B240" s="24" t="s">
        <v>629</v>
      </c>
      <c r="C240" s="1" t="s">
        <v>937</v>
      </c>
      <c r="D240" s="10" t="s">
        <v>938</v>
      </c>
      <c r="E240" s="27" t="s">
        <v>715</v>
      </c>
      <c r="F240" s="27" t="s">
        <v>715</v>
      </c>
      <c r="G240" s="10" t="s">
        <v>939</v>
      </c>
      <c r="H240" s="10">
        <v>2</v>
      </c>
      <c r="I240" s="27">
        <v>1646</v>
      </c>
      <c r="J240" s="27">
        <v>728</v>
      </c>
      <c r="K240" s="21">
        <v>43480</v>
      </c>
      <c r="L240" s="24" t="s">
        <v>156</v>
      </c>
      <c r="M240" s="236">
        <f t="shared" si="3"/>
        <v>2018114</v>
      </c>
    </row>
    <row r="241" spans="1:13" x14ac:dyDescent="0.3">
      <c r="A241" s="2">
        <v>2018095</v>
      </c>
      <c r="B241" s="24" t="s">
        <v>890</v>
      </c>
      <c r="C241" s="1" t="s">
        <v>659</v>
      </c>
      <c r="D241" s="10" t="s">
        <v>660</v>
      </c>
      <c r="E241" s="10" t="s">
        <v>661</v>
      </c>
      <c r="F241" s="10">
        <v>5275971</v>
      </c>
      <c r="G241" s="10" t="s">
        <v>662</v>
      </c>
      <c r="H241" s="10">
        <v>2</v>
      </c>
      <c r="I241" s="10">
        <v>1646</v>
      </c>
      <c r="J241" s="10">
        <v>728</v>
      </c>
      <c r="K241" s="21">
        <v>43483</v>
      </c>
      <c r="L241" s="24" t="s">
        <v>156</v>
      </c>
      <c r="M241" s="236">
        <f t="shared" si="3"/>
        <v>2018095</v>
      </c>
    </row>
    <row r="242" spans="1:13" x14ac:dyDescent="0.3">
      <c r="A242" s="2">
        <v>2018232</v>
      </c>
      <c r="B242" s="24" t="s">
        <v>1759</v>
      </c>
      <c r="C242" s="1" t="s">
        <v>1164</v>
      </c>
      <c r="D242" s="10" t="s">
        <v>1165</v>
      </c>
      <c r="E242" s="10"/>
      <c r="F242" s="10"/>
      <c r="G242" s="10"/>
      <c r="H242" s="10">
        <v>2</v>
      </c>
      <c r="I242" s="10"/>
      <c r="J242" s="27" t="s">
        <v>715</v>
      </c>
      <c r="K242" s="21"/>
      <c r="L242" s="24" t="s">
        <v>157</v>
      </c>
      <c r="M242" s="236">
        <f t="shared" si="3"/>
        <v>2018232</v>
      </c>
    </row>
    <row r="243" spans="1:13" x14ac:dyDescent="0.3">
      <c r="A243" s="2">
        <v>2020019</v>
      </c>
      <c r="B243" s="58" t="s">
        <v>946</v>
      </c>
      <c r="C243" s="1" t="s">
        <v>1389</v>
      </c>
      <c r="D243" s="10" t="s">
        <v>1390</v>
      </c>
      <c r="E243" s="10" t="s">
        <v>1391</v>
      </c>
      <c r="F243" s="10">
        <v>3782012011</v>
      </c>
      <c r="G243" s="10" t="s">
        <v>1392</v>
      </c>
      <c r="H243" s="27" t="s">
        <v>715</v>
      </c>
      <c r="I243" s="10">
        <v>839</v>
      </c>
      <c r="J243" s="10">
        <v>622</v>
      </c>
      <c r="K243" s="22"/>
      <c r="L243" s="24" t="s">
        <v>157</v>
      </c>
      <c r="M243" s="236">
        <f t="shared" si="3"/>
        <v>2020019</v>
      </c>
    </row>
    <row r="244" spans="1:13" x14ac:dyDescent="0.3">
      <c r="A244" s="2">
        <v>2018115</v>
      </c>
      <c r="B244" s="24" t="s">
        <v>629</v>
      </c>
      <c r="C244" s="1" t="s">
        <v>1532</v>
      </c>
      <c r="D244" s="10" t="s">
        <v>307</v>
      </c>
      <c r="E244" s="10" t="s">
        <v>308</v>
      </c>
      <c r="F244" s="10">
        <v>3005714017</v>
      </c>
      <c r="G244" s="10" t="s">
        <v>309</v>
      </c>
      <c r="H244" s="10"/>
      <c r="I244" s="27" t="s">
        <v>715</v>
      </c>
      <c r="J244" s="27" t="s">
        <v>715</v>
      </c>
      <c r="K244" s="21">
        <v>43480</v>
      </c>
      <c r="L244" s="24" t="s">
        <v>156</v>
      </c>
      <c r="M244" s="236">
        <f t="shared" si="3"/>
        <v>2018115</v>
      </c>
    </row>
    <row r="245" spans="1:13" x14ac:dyDescent="0.3">
      <c r="A245" s="2">
        <v>2018334</v>
      </c>
      <c r="B245" s="24" t="s">
        <v>201</v>
      </c>
      <c r="C245" s="1" t="s">
        <v>217</v>
      </c>
      <c r="D245" s="10" t="s">
        <v>218</v>
      </c>
      <c r="E245" s="10" t="s">
        <v>1343</v>
      </c>
      <c r="F245" s="10">
        <v>5931216</v>
      </c>
      <c r="G245" s="10" t="s">
        <v>219</v>
      </c>
      <c r="H245" s="10"/>
      <c r="I245" s="10">
        <v>839</v>
      </c>
      <c r="J245" s="10">
        <v>371</v>
      </c>
      <c r="K245" s="21">
        <v>43479</v>
      </c>
      <c r="L245" s="24" t="s">
        <v>211</v>
      </c>
      <c r="M245" s="236">
        <f t="shared" si="3"/>
        <v>2018334</v>
      </c>
    </row>
    <row r="246" spans="1:13" x14ac:dyDescent="0.3">
      <c r="A246" s="2">
        <v>2018182</v>
      </c>
      <c r="B246" s="24" t="s">
        <v>1102</v>
      </c>
      <c r="C246" s="1" t="s">
        <v>1103</v>
      </c>
      <c r="D246" s="10" t="s">
        <v>1099</v>
      </c>
      <c r="E246" s="27" t="s">
        <v>1100</v>
      </c>
      <c r="F246" s="27" t="s">
        <v>715</v>
      </c>
      <c r="G246" s="10" t="s">
        <v>1101</v>
      </c>
      <c r="H246" s="10">
        <v>2</v>
      </c>
      <c r="I246" s="10">
        <v>1614</v>
      </c>
      <c r="J246" s="10">
        <v>270</v>
      </c>
      <c r="K246" s="21">
        <v>43483</v>
      </c>
      <c r="L246" s="24" t="s">
        <v>156</v>
      </c>
      <c r="M246" s="236">
        <f t="shared" si="3"/>
        <v>2018182</v>
      </c>
    </row>
    <row r="247" spans="1:13" x14ac:dyDescent="0.3">
      <c r="A247" s="2">
        <v>2020044</v>
      </c>
      <c r="B247" s="24" t="s">
        <v>1170</v>
      </c>
      <c r="C247" s="1" t="s">
        <v>1623</v>
      </c>
      <c r="D247" s="10" t="s">
        <v>1624</v>
      </c>
      <c r="E247" s="10" t="s">
        <v>1625</v>
      </c>
      <c r="F247" s="10">
        <v>833355016</v>
      </c>
      <c r="G247" s="10" t="s">
        <v>1626</v>
      </c>
      <c r="H247" s="10">
        <v>0</v>
      </c>
      <c r="I247" s="10">
        <v>823</v>
      </c>
      <c r="J247" s="10">
        <v>364</v>
      </c>
      <c r="K247" s="22"/>
      <c r="L247" s="24" t="s">
        <v>156</v>
      </c>
      <c r="M247" s="236">
        <f t="shared" si="3"/>
        <v>2020044</v>
      </c>
    </row>
    <row r="248" spans="1:13" x14ac:dyDescent="0.3">
      <c r="A248" s="2">
        <v>2018265</v>
      </c>
      <c r="B248" s="24" t="s">
        <v>959</v>
      </c>
      <c r="C248" s="1" t="s">
        <v>1942</v>
      </c>
      <c r="D248" s="10" t="s">
        <v>753</v>
      </c>
      <c r="E248" s="10" t="s">
        <v>754</v>
      </c>
      <c r="F248" s="10">
        <v>3145325</v>
      </c>
      <c r="G248" s="10" t="s">
        <v>755</v>
      </c>
      <c r="H248" s="10">
        <v>2</v>
      </c>
      <c r="I248" s="27" t="s">
        <v>715</v>
      </c>
      <c r="J248" s="27" t="s">
        <v>715</v>
      </c>
      <c r="K248" s="21">
        <v>43483</v>
      </c>
      <c r="L248" s="24" t="s">
        <v>157</v>
      </c>
      <c r="M248" s="236">
        <f t="shared" si="3"/>
        <v>2018265</v>
      </c>
    </row>
    <row r="249" spans="1:13" x14ac:dyDescent="0.3">
      <c r="A249" s="2">
        <v>2018183</v>
      </c>
      <c r="B249" s="24" t="s">
        <v>1947</v>
      </c>
      <c r="C249" s="1" t="s">
        <v>1943</v>
      </c>
      <c r="D249" s="10" t="s">
        <v>883</v>
      </c>
      <c r="E249" s="27" t="s">
        <v>715</v>
      </c>
      <c r="F249" s="27" t="s">
        <v>715</v>
      </c>
      <c r="G249" s="10" t="s">
        <v>884</v>
      </c>
      <c r="H249" s="10">
        <v>3</v>
      </c>
      <c r="I249" s="27" t="s">
        <v>715</v>
      </c>
      <c r="J249" s="27" t="s">
        <v>715</v>
      </c>
      <c r="K249" s="21"/>
      <c r="L249" s="24" t="s">
        <v>280</v>
      </c>
      <c r="M249" s="236">
        <f t="shared" si="3"/>
        <v>2018183</v>
      </c>
    </row>
    <row r="250" spans="1:13" x14ac:dyDescent="0.3">
      <c r="A250" s="2">
        <v>2020072</v>
      </c>
      <c r="B250" s="24" t="s">
        <v>1856</v>
      </c>
      <c r="C250" s="1" t="s">
        <v>1857</v>
      </c>
      <c r="D250" s="10" t="s">
        <v>1858</v>
      </c>
      <c r="E250" s="10"/>
      <c r="F250" s="10"/>
      <c r="G250" s="10" t="s">
        <v>1859</v>
      </c>
      <c r="H250" s="10">
        <v>2</v>
      </c>
      <c r="I250" s="10">
        <v>1646</v>
      </c>
      <c r="J250" s="10">
        <v>728</v>
      </c>
      <c r="K250" s="22"/>
      <c r="L250" s="24" t="s">
        <v>156</v>
      </c>
      <c r="M250" s="236">
        <f t="shared" si="3"/>
        <v>2020072</v>
      </c>
    </row>
    <row r="251" spans="1:13" x14ac:dyDescent="0.3">
      <c r="A251" s="2">
        <v>2020043</v>
      </c>
      <c r="B251" s="24" t="s">
        <v>201</v>
      </c>
      <c r="C251" s="1" t="s">
        <v>1619</v>
      </c>
      <c r="D251" s="10" t="s">
        <v>1620</v>
      </c>
      <c r="E251" s="10" t="s">
        <v>1621</v>
      </c>
      <c r="F251" s="10">
        <v>4526523</v>
      </c>
      <c r="G251" s="10" t="s">
        <v>1622</v>
      </c>
      <c r="H251" s="27" t="s">
        <v>715</v>
      </c>
      <c r="I251" s="10">
        <v>823</v>
      </c>
      <c r="J251" s="10">
        <v>364</v>
      </c>
      <c r="K251" s="22"/>
      <c r="L251" s="24" t="s">
        <v>211</v>
      </c>
      <c r="M251" s="236">
        <f t="shared" si="3"/>
        <v>2020043</v>
      </c>
    </row>
    <row r="252" spans="1:13" x14ac:dyDescent="0.3">
      <c r="A252" s="2">
        <v>2018137</v>
      </c>
      <c r="B252" s="24" t="s">
        <v>982</v>
      </c>
      <c r="C252" s="1" t="s">
        <v>1695</v>
      </c>
      <c r="D252" s="10" t="s">
        <v>823</v>
      </c>
      <c r="E252" s="27" t="s">
        <v>715</v>
      </c>
      <c r="F252" s="10"/>
      <c r="G252" s="10" t="s">
        <v>824</v>
      </c>
      <c r="H252" s="27" t="s">
        <v>715</v>
      </c>
      <c r="I252" s="10">
        <v>823</v>
      </c>
      <c r="J252" s="10">
        <v>364</v>
      </c>
      <c r="K252" s="21">
        <v>43483</v>
      </c>
      <c r="L252" s="24" t="s">
        <v>156</v>
      </c>
      <c r="M252" s="236">
        <f t="shared" si="3"/>
        <v>2018137</v>
      </c>
    </row>
    <row r="253" spans="1:13" x14ac:dyDescent="0.3">
      <c r="A253" s="2">
        <v>2018068</v>
      </c>
      <c r="B253" s="24" t="s">
        <v>454</v>
      </c>
      <c r="C253" s="1" t="s">
        <v>36</v>
      </c>
      <c r="D253" s="10" t="s">
        <v>284</v>
      </c>
      <c r="E253" s="10" t="s">
        <v>1438</v>
      </c>
      <c r="F253" s="10">
        <v>3503975</v>
      </c>
      <c r="G253" s="10" t="s">
        <v>1439</v>
      </c>
      <c r="H253" s="27" t="s">
        <v>715</v>
      </c>
      <c r="I253" s="10">
        <v>823</v>
      </c>
      <c r="J253" s="10">
        <v>364</v>
      </c>
      <c r="K253" s="21">
        <v>43480</v>
      </c>
      <c r="L253" s="24" t="s">
        <v>156</v>
      </c>
      <c r="M253" s="236">
        <f t="shared" si="3"/>
        <v>2018068</v>
      </c>
    </row>
    <row r="254" spans="1:13" x14ac:dyDescent="0.3">
      <c r="A254" s="2">
        <v>2018042</v>
      </c>
      <c r="B254" s="24" t="s">
        <v>1946</v>
      </c>
      <c r="C254" s="1" t="s">
        <v>1944</v>
      </c>
      <c r="D254" s="10" t="s">
        <v>713</v>
      </c>
      <c r="E254" s="10" t="s">
        <v>714</v>
      </c>
      <c r="F254" s="10">
        <v>4560429</v>
      </c>
      <c r="G254" s="10" t="s">
        <v>1700</v>
      </c>
      <c r="H254" s="27">
        <v>3</v>
      </c>
      <c r="I254" s="27" t="s">
        <v>715</v>
      </c>
      <c r="J254" s="27" t="s">
        <v>715</v>
      </c>
      <c r="K254" s="21">
        <v>43483</v>
      </c>
      <c r="L254" s="24" t="s">
        <v>280</v>
      </c>
      <c r="M254" s="236">
        <f t="shared" si="3"/>
        <v>2018042</v>
      </c>
    </row>
    <row r="255" spans="1:13" x14ac:dyDescent="0.3">
      <c r="A255" s="2">
        <v>2018471</v>
      </c>
      <c r="B255" s="24" t="s">
        <v>340</v>
      </c>
      <c r="C255" s="1" t="s">
        <v>1226</v>
      </c>
      <c r="D255" s="10" t="s">
        <v>1327</v>
      </c>
      <c r="E255" s="10" t="s">
        <v>1328</v>
      </c>
      <c r="F255" s="10">
        <v>4476822</v>
      </c>
      <c r="G255" s="10" t="s">
        <v>1329</v>
      </c>
      <c r="H255" s="10"/>
      <c r="I255" s="10">
        <v>839</v>
      </c>
      <c r="J255" s="10">
        <v>371</v>
      </c>
      <c r="K255" s="22" t="s">
        <v>1227</v>
      </c>
      <c r="L255" s="24" t="s">
        <v>156</v>
      </c>
      <c r="M255" s="236">
        <f t="shared" si="3"/>
        <v>2018471</v>
      </c>
    </row>
    <row r="256" spans="1:13" x14ac:dyDescent="0.3">
      <c r="A256" s="2">
        <v>2020069</v>
      </c>
      <c r="B256" s="58" t="s">
        <v>1939</v>
      </c>
      <c r="C256" s="1" t="s">
        <v>1840</v>
      </c>
      <c r="D256" s="10" t="s">
        <v>1841</v>
      </c>
      <c r="E256" s="10"/>
      <c r="F256" s="10"/>
      <c r="G256" s="10" t="s">
        <v>1842</v>
      </c>
      <c r="H256" s="10"/>
      <c r="I256" s="10"/>
      <c r="J256" s="10"/>
      <c r="K256" s="22"/>
      <c r="L256" s="24" t="s">
        <v>157</v>
      </c>
      <c r="M256" s="236">
        <f t="shared" si="3"/>
        <v>2020069</v>
      </c>
    </row>
    <row r="257" spans="1:13" x14ac:dyDescent="0.3">
      <c r="A257" s="2">
        <v>2018069</v>
      </c>
      <c r="B257" s="24" t="s">
        <v>550</v>
      </c>
      <c r="C257" s="1" t="s">
        <v>549</v>
      </c>
      <c r="D257" s="10" t="s">
        <v>551</v>
      </c>
      <c r="E257" s="10" t="s">
        <v>252</v>
      </c>
      <c r="F257" s="10" t="s">
        <v>252</v>
      </c>
      <c r="G257" s="10" t="s">
        <v>552</v>
      </c>
      <c r="H257" s="10">
        <v>2</v>
      </c>
      <c r="I257" s="10" t="s">
        <v>279</v>
      </c>
      <c r="J257" s="26" t="s">
        <v>417</v>
      </c>
      <c r="K257" s="21">
        <v>43482</v>
      </c>
      <c r="L257" s="24" t="s">
        <v>156</v>
      </c>
      <c r="M257" s="236">
        <f t="shared" si="3"/>
        <v>2018069</v>
      </c>
    </row>
    <row r="258" spans="1:13" x14ac:dyDescent="0.3">
      <c r="A258" s="2">
        <v>2018383</v>
      </c>
      <c r="B258" s="24" t="s">
        <v>340</v>
      </c>
      <c r="C258" s="1" t="s">
        <v>533</v>
      </c>
      <c r="D258" s="10" t="s">
        <v>534</v>
      </c>
      <c r="E258" s="10" t="s">
        <v>535</v>
      </c>
      <c r="F258" s="10">
        <v>3892441014</v>
      </c>
      <c r="G258" s="10" t="s">
        <v>1291</v>
      </c>
      <c r="H258" s="10"/>
      <c r="I258" s="27" t="s">
        <v>715</v>
      </c>
      <c r="J258" s="27" t="s">
        <v>715</v>
      </c>
      <c r="K258" s="21">
        <v>43482</v>
      </c>
      <c r="L258" s="24" t="s">
        <v>156</v>
      </c>
      <c r="M258" s="236">
        <f t="shared" si="3"/>
        <v>2018383</v>
      </c>
    </row>
    <row r="259" spans="1:13" x14ac:dyDescent="0.3">
      <c r="A259" s="2">
        <v>2020026</v>
      </c>
      <c r="B259" s="24" t="s">
        <v>878</v>
      </c>
      <c r="C259" s="1" t="s">
        <v>1430</v>
      </c>
      <c r="D259" s="10" t="s">
        <v>1431</v>
      </c>
      <c r="E259" s="27" t="s">
        <v>715</v>
      </c>
      <c r="F259" s="27" t="s">
        <v>715</v>
      </c>
      <c r="G259" s="10" t="s">
        <v>1432</v>
      </c>
      <c r="H259" s="27" t="s">
        <v>715</v>
      </c>
      <c r="I259" s="27" t="s">
        <v>715</v>
      </c>
      <c r="J259" s="27" t="s">
        <v>715</v>
      </c>
      <c r="K259" s="22"/>
      <c r="L259" s="24" t="s">
        <v>246</v>
      </c>
      <c r="M259" s="236">
        <f t="shared" ref="M259:M322" si="4">A259</f>
        <v>2020026</v>
      </c>
    </row>
    <row r="260" spans="1:13" x14ac:dyDescent="0.3">
      <c r="A260" s="2">
        <v>2018283</v>
      </c>
      <c r="B260" s="24" t="s">
        <v>116</v>
      </c>
      <c r="C260" s="1" t="s">
        <v>1945</v>
      </c>
      <c r="D260" s="10" t="s">
        <v>1608</v>
      </c>
      <c r="E260" s="27" t="s">
        <v>715</v>
      </c>
      <c r="F260" s="27" t="s">
        <v>715</v>
      </c>
      <c r="G260" s="10" t="s">
        <v>763</v>
      </c>
      <c r="H260" s="10">
        <v>2</v>
      </c>
      <c r="I260" s="10">
        <v>1646</v>
      </c>
      <c r="J260" s="10">
        <v>1220</v>
      </c>
      <c r="K260" s="21">
        <v>43480</v>
      </c>
      <c r="L260" s="24" t="s">
        <v>157</v>
      </c>
      <c r="M260" s="236">
        <f t="shared" si="4"/>
        <v>2018283</v>
      </c>
    </row>
    <row r="261" spans="1:13" x14ac:dyDescent="0.3">
      <c r="A261" s="2">
        <v>2018397</v>
      </c>
      <c r="B261" s="58" t="s">
        <v>116</v>
      </c>
      <c r="C261" s="1" t="s">
        <v>1569</v>
      </c>
      <c r="D261" s="10" t="s">
        <v>1570</v>
      </c>
      <c r="E261" s="10" t="s">
        <v>1571</v>
      </c>
      <c r="F261" s="10">
        <v>3130736</v>
      </c>
      <c r="G261" s="10" t="s">
        <v>1572</v>
      </c>
      <c r="H261" s="27" t="s">
        <v>715</v>
      </c>
      <c r="I261" s="10">
        <v>823</v>
      </c>
      <c r="J261" s="10">
        <v>610</v>
      </c>
      <c r="K261" s="21">
        <v>43483</v>
      </c>
      <c r="L261" s="24" t="s">
        <v>157</v>
      </c>
      <c r="M261" s="236">
        <f t="shared" si="4"/>
        <v>2018397</v>
      </c>
    </row>
    <row r="262" spans="1:13" x14ac:dyDescent="0.3">
      <c r="A262" s="2">
        <v>2018473</v>
      </c>
      <c r="B262" s="24" t="s">
        <v>1228</v>
      </c>
      <c r="C262" s="1" t="s">
        <v>1230</v>
      </c>
      <c r="D262" s="10" t="s">
        <v>1231</v>
      </c>
      <c r="E262" s="10">
        <v>0</v>
      </c>
      <c r="F262" s="10">
        <v>0</v>
      </c>
      <c r="G262" s="10" t="s">
        <v>1232</v>
      </c>
      <c r="H262" s="10">
        <v>0</v>
      </c>
      <c r="I262" s="10">
        <v>1000</v>
      </c>
      <c r="J262" s="10">
        <v>0</v>
      </c>
      <c r="K262" s="22" t="s">
        <v>1213</v>
      </c>
      <c r="L262" s="24" t="s">
        <v>157</v>
      </c>
      <c r="M262" s="236">
        <f t="shared" si="4"/>
        <v>2018473</v>
      </c>
    </row>
    <row r="263" spans="1:13" x14ac:dyDescent="0.3">
      <c r="A263" s="2">
        <v>2020036</v>
      </c>
      <c r="B263" s="24" t="s">
        <v>1529</v>
      </c>
      <c r="C263" s="1" t="s">
        <v>1530</v>
      </c>
      <c r="D263" s="10" t="s">
        <v>1531</v>
      </c>
      <c r="E263" s="10" t="s">
        <v>1526</v>
      </c>
      <c r="F263" s="10">
        <v>18859380200</v>
      </c>
      <c r="G263" s="10" t="s">
        <v>1527</v>
      </c>
      <c r="H263" s="10">
        <v>2</v>
      </c>
      <c r="I263" s="10">
        <v>1646</v>
      </c>
      <c r="J263" s="10">
        <v>1220</v>
      </c>
      <c r="K263" s="22" t="s">
        <v>1528</v>
      </c>
      <c r="L263" s="24" t="s">
        <v>156</v>
      </c>
      <c r="M263" s="236">
        <f t="shared" si="4"/>
        <v>2020036</v>
      </c>
    </row>
    <row r="264" spans="1:13" x14ac:dyDescent="0.3">
      <c r="A264" s="2">
        <v>2018266</v>
      </c>
      <c r="B264" s="24" t="s">
        <v>1387</v>
      </c>
      <c r="C264" s="1" t="s">
        <v>1703</v>
      </c>
      <c r="D264" s="10" t="s">
        <v>848</v>
      </c>
      <c r="E264" s="27" t="s">
        <v>715</v>
      </c>
      <c r="F264" s="27" t="s">
        <v>715</v>
      </c>
      <c r="G264" s="10" t="s">
        <v>849</v>
      </c>
      <c r="H264" s="10">
        <v>2</v>
      </c>
      <c r="I264" s="27" t="s">
        <v>715</v>
      </c>
      <c r="J264" s="27" t="s">
        <v>715</v>
      </c>
      <c r="K264" s="21">
        <v>43483</v>
      </c>
      <c r="L264" s="24" t="s">
        <v>280</v>
      </c>
      <c r="M264" s="236">
        <f t="shared" si="4"/>
        <v>2018266</v>
      </c>
    </row>
    <row r="265" spans="1:13" x14ac:dyDescent="0.3">
      <c r="A265" s="2">
        <v>2020047</v>
      </c>
      <c r="B265" s="24" t="s">
        <v>201</v>
      </c>
      <c r="C265" s="1" t="s">
        <v>1660</v>
      </c>
      <c r="D265" s="10" t="s">
        <v>1661</v>
      </c>
      <c r="E265" s="27" t="s">
        <v>715</v>
      </c>
      <c r="F265" s="27" t="s">
        <v>715</v>
      </c>
      <c r="G265" s="10" t="s">
        <v>1662</v>
      </c>
      <c r="H265" s="27" t="s">
        <v>715</v>
      </c>
      <c r="I265" s="10">
        <v>823</v>
      </c>
      <c r="J265" s="10">
        <v>364</v>
      </c>
      <c r="K265" s="22"/>
      <c r="L265" s="24" t="s">
        <v>211</v>
      </c>
      <c r="M265" s="236">
        <f t="shared" si="4"/>
        <v>2020047</v>
      </c>
    </row>
    <row r="266" spans="1:13" x14ac:dyDescent="0.3">
      <c r="A266" s="2">
        <v>2018364</v>
      </c>
      <c r="B266" s="24" t="s">
        <v>201</v>
      </c>
      <c r="C266" s="1" t="s">
        <v>384</v>
      </c>
      <c r="D266" s="10" t="s">
        <v>385</v>
      </c>
      <c r="E266" s="10" t="s">
        <v>1671</v>
      </c>
      <c r="F266" s="10">
        <v>5225906</v>
      </c>
      <c r="G266" s="10" t="s">
        <v>1672</v>
      </c>
      <c r="H266" s="27" t="s">
        <v>715</v>
      </c>
      <c r="I266" s="10">
        <v>823</v>
      </c>
      <c r="J266" s="10">
        <v>364</v>
      </c>
      <c r="K266" s="21">
        <v>43480</v>
      </c>
      <c r="L266" s="24" t="s">
        <v>211</v>
      </c>
      <c r="M266" s="236">
        <f t="shared" si="4"/>
        <v>2018364</v>
      </c>
    </row>
    <row r="267" spans="1:13" x14ac:dyDescent="0.3">
      <c r="A267" s="2">
        <v>2018359</v>
      </c>
      <c r="B267" s="24" t="s">
        <v>1324</v>
      </c>
      <c r="C267" s="1" t="s">
        <v>359</v>
      </c>
      <c r="D267" s="10" t="s">
        <v>360</v>
      </c>
      <c r="E267" s="27" t="s">
        <v>715</v>
      </c>
      <c r="F267" s="27" t="s">
        <v>715</v>
      </c>
      <c r="G267" s="10" t="s">
        <v>361</v>
      </c>
      <c r="H267" s="27" t="s">
        <v>715</v>
      </c>
      <c r="I267" s="10">
        <v>839</v>
      </c>
      <c r="J267" s="10">
        <v>371</v>
      </c>
      <c r="K267" s="21">
        <v>43480</v>
      </c>
      <c r="L267" s="24" t="s">
        <v>156</v>
      </c>
      <c r="M267" s="236">
        <f t="shared" si="4"/>
        <v>2018359</v>
      </c>
    </row>
    <row r="268" spans="1:13" x14ac:dyDescent="0.3">
      <c r="A268" s="2">
        <v>2020081</v>
      </c>
      <c r="B268" s="24" t="s">
        <v>1901</v>
      </c>
      <c r="C268" s="1" t="s">
        <v>1897</v>
      </c>
      <c r="D268" s="10" t="s">
        <v>1898</v>
      </c>
      <c r="E268" s="10" t="s">
        <v>1899</v>
      </c>
      <c r="F268" s="10">
        <v>3731732016</v>
      </c>
      <c r="G268" s="10" t="s">
        <v>1900</v>
      </c>
      <c r="H268" s="10">
        <v>0</v>
      </c>
      <c r="I268" s="10">
        <v>823</v>
      </c>
      <c r="J268" s="10">
        <v>364</v>
      </c>
      <c r="K268" s="22"/>
      <c r="L268" s="24" t="s">
        <v>156</v>
      </c>
      <c r="M268" s="236">
        <f t="shared" si="4"/>
        <v>2020081</v>
      </c>
    </row>
    <row r="269" spans="1:13" x14ac:dyDescent="0.3">
      <c r="A269" s="2">
        <v>2020033</v>
      </c>
      <c r="B269" s="58" t="s">
        <v>959</v>
      </c>
      <c r="C269" s="1" t="s">
        <v>1501</v>
      </c>
      <c r="D269" s="10" t="s">
        <v>1502</v>
      </c>
      <c r="E269" s="10" t="s">
        <v>1503</v>
      </c>
      <c r="F269" s="10">
        <v>3565703</v>
      </c>
      <c r="G269" s="10" t="s">
        <v>1504</v>
      </c>
      <c r="H269" s="27" t="s">
        <v>715</v>
      </c>
      <c r="I269" s="27" t="s">
        <v>715</v>
      </c>
      <c r="J269" s="27" t="s">
        <v>715</v>
      </c>
      <c r="K269" s="22"/>
      <c r="L269" s="24" t="s">
        <v>157</v>
      </c>
      <c r="M269" s="236">
        <f t="shared" si="4"/>
        <v>2020033</v>
      </c>
    </row>
    <row r="270" spans="1:13" x14ac:dyDescent="0.3">
      <c r="A270" s="2">
        <v>2018422</v>
      </c>
      <c r="B270" s="24" t="s">
        <v>1587</v>
      </c>
      <c r="C270" s="1" t="s">
        <v>1588</v>
      </c>
      <c r="D270" s="10" t="s">
        <v>1589</v>
      </c>
      <c r="E270" s="10" t="s">
        <v>1590</v>
      </c>
      <c r="F270" s="27">
        <v>1712770</v>
      </c>
      <c r="G270" s="10" t="s">
        <v>995</v>
      </c>
      <c r="H270" s="10">
        <v>3</v>
      </c>
      <c r="I270" s="27" t="s">
        <v>715</v>
      </c>
      <c r="J270" s="27" t="s">
        <v>715</v>
      </c>
      <c r="K270" s="21">
        <v>43483</v>
      </c>
      <c r="L270" s="24" t="s">
        <v>589</v>
      </c>
      <c r="M270" s="236">
        <f t="shared" si="4"/>
        <v>2018422</v>
      </c>
    </row>
    <row r="271" spans="1:13" x14ac:dyDescent="0.3">
      <c r="A271" s="2">
        <v>2018070</v>
      </c>
      <c r="B271" s="24" t="s">
        <v>53</v>
      </c>
      <c r="C271" s="1" t="s">
        <v>37</v>
      </c>
      <c r="D271" s="10"/>
      <c r="E271" s="10"/>
      <c r="F271" s="10"/>
      <c r="G271" s="10"/>
      <c r="H271" s="10"/>
      <c r="I271" s="10"/>
      <c r="J271" s="10"/>
      <c r="K271" s="21">
        <v>43480</v>
      </c>
      <c r="L271" s="24" t="s">
        <v>156</v>
      </c>
      <c r="M271" s="236">
        <f t="shared" si="4"/>
        <v>2018070</v>
      </c>
    </row>
    <row r="272" spans="1:13" x14ac:dyDescent="0.3">
      <c r="A272" s="2">
        <v>2018426</v>
      </c>
      <c r="B272" s="24" t="s">
        <v>1159</v>
      </c>
      <c r="C272" s="1" t="s">
        <v>1029</v>
      </c>
      <c r="D272" s="10" t="s">
        <v>1030</v>
      </c>
      <c r="E272" s="27" t="s">
        <v>715</v>
      </c>
      <c r="F272" s="27" t="s">
        <v>715</v>
      </c>
      <c r="G272" s="10" t="s">
        <v>1031</v>
      </c>
      <c r="H272" s="27" t="s">
        <v>715</v>
      </c>
      <c r="I272" s="10">
        <v>600</v>
      </c>
      <c r="J272" s="27">
        <v>0</v>
      </c>
      <c r="K272" s="21"/>
      <c r="L272" s="24" t="s">
        <v>156</v>
      </c>
      <c r="M272" s="236">
        <f t="shared" si="4"/>
        <v>2018426</v>
      </c>
    </row>
    <row r="273" spans="1:13" x14ac:dyDescent="0.3">
      <c r="A273" s="2">
        <v>2018335</v>
      </c>
      <c r="B273" s="24" t="s">
        <v>1631</v>
      </c>
      <c r="C273" s="1" t="s">
        <v>1632</v>
      </c>
      <c r="D273" s="10" t="s">
        <v>1633</v>
      </c>
      <c r="E273" s="27" t="s">
        <v>715</v>
      </c>
      <c r="F273" s="27" t="s">
        <v>715</v>
      </c>
      <c r="G273" s="10" t="s">
        <v>227</v>
      </c>
      <c r="H273" s="10">
        <v>2</v>
      </c>
      <c r="I273" s="27" t="s">
        <v>715</v>
      </c>
      <c r="J273" s="27" t="s">
        <v>715</v>
      </c>
      <c r="K273" s="21">
        <v>43479</v>
      </c>
      <c r="L273" s="24" t="s">
        <v>157</v>
      </c>
      <c r="M273" s="236">
        <f t="shared" si="4"/>
        <v>2018335</v>
      </c>
    </row>
    <row r="274" spans="1:13" x14ac:dyDescent="0.3">
      <c r="A274" s="2">
        <v>2018218</v>
      </c>
      <c r="B274" s="24" t="s">
        <v>1540</v>
      </c>
      <c r="C274" s="1" t="s">
        <v>852</v>
      </c>
      <c r="D274" s="10" t="s">
        <v>853</v>
      </c>
      <c r="E274" s="27" t="s">
        <v>1541</v>
      </c>
      <c r="F274" s="10">
        <v>991001</v>
      </c>
      <c r="G274" s="10" t="s">
        <v>854</v>
      </c>
      <c r="H274" s="10">
        <v>2</v>
      </c>
      <c r="I274" s="10">
        <v>1646</v>
      </c>
      <c r="J274" s="10">
        <v>1220</v>
      </c>
      <c r="K274" s="21">
        <v>43483</v>
      </c>
      <c r="L274" s="24" t="s">
        <v>157</v>
      </c>
      <c r="M274" s="236">
        <f t="shared" si="4"/>
        <v>2018218</v>
      </c>
    </row>
    <row r="275" spans="1:13" x14ac:dyDescent="0.3">
      <c r="A275" s="2">
        <v>2018162</v>
      </c>
      <c r="B275" s="24" t="s">
        <v>458</v>
      </c>
      <c r="C275" s="1" t="s">
        <v>69</v>
      </c>
      <c r="D275" s="10" t="s">
        <v>801</v>
      </c>
      <c r="E275" s="27" t="s">
        <v>1586</v>
      </c>
      <c r="F275" s="10">
        <v>6549555</v>
      </c>
      <c r="G275" s="10" t="s">
        <v>802</v>
      </c>
      <c r="H275" s="27" t="s">
        <v>715</v>
      </c>
      <c r="I275" s="10">
        <v>823</v>
      </c>
      <c r="J275" s="10">
        <v>364</v>
      </c>
      <c r="K275" s="21">
        <v>43483</v>
      </c>
      <c r="L275" s="24" t="s">
        <v>156</v>
      </c>
      <c r="M275" s="236">
        <f t="shared" si="4"/>
        <v>2018162</v>
      </c>
    </row>
    <row r="276" spans="1:13" x14ac:dyDescent="0.3">
      <c r="A276" s="2">
        <v>2018199</v>
      </c>
      <c r="B276" s="58" t="s">
        <v>1256</v>
      </c>
      <c r="C276" s="1" t="s">
        <v>489</v>
      </c>
      <c r="D276" s="10" t="s">
        <v>490</v>
      </c>
      <c r="E276" s="27" t="s">
        <v>715</v>
      </c>
      <c r="F276" s="27" t="s">
        <v>715</v>
      </c>
      <c r="G276" s="10" t="s">
        <v>491</v>
      </c>
      <c r="H276" s="10">
        <v>2</v>
      </c>
      <c r="I276" s="10">
        <v>1646</v>
      </c>
      <c r="J276" s="10">
        <v>974</v>
      </c>
      <c r="K276" s="21"/>
      <c r="L276" s="24" t="s">
        <v>910</v>
      </c>
      <c r="M276" s="236">
        <f t="shared" si="4"/>
        <v>2018199</v>
      </c>
    </row>
    <row r="277" spans="1:13" x14ac:dyDescent="0.3">
      <c r="A277" s="2">
        <v>2018462</v>
      </c>
      <c r="B277" s="24" t="s">
        <v>1193</v>
      </c>
      <c r="C277" s="1" t="s">
        <v>1194</v>
      </c>
      <c r="D277" s="10" t="s">
        <v>1195</v>
      </c>
      <c r="E277" s="10"/>
      <c r="F277" s="10"/>
      <c r="G277" s="10" t="s">
        <v>1196</v>
      </c>
      <c r="H277" s="10">
        <v>2</v>
      </c>
      <c r="I277" s="10">
        <v>1614</v>
      </c>
      <c r="J277" s="10">
        <v>714</v>
      </c>
      <c r="K277" s="22" t="s">
        <v>1197</v>
      </c>
      <c r="L277" s="24" t="s">
        <v>156</v>
      </c>
      <c r="M277" s="236">
        <f t="shared" si="4"/>
        <v>2018462</v>
      </c>
    </row>
    <row r="278" spans="1:13" x14ac:dyDescent="0.3">
      <c r="A278" s="2">
        <v>2018200</v>
      </c>
      <c r="B278" s="24" t="s">
        <v>1533</v>
      </c>
      <c r="C278" s="1" t="s">
        <v>993</v>
      </c>
      <c r="D278" s="10" t="s">
        <v>1534</v>
      </c>
      <c r="E278" s="27" t="s">
        <v>1535</v>
      </c>
      <c r="F278" s="27">
        <v>3588345</v>
      </c>
      <c r="G278" s="10" t="s">
        <v>994</v>
      </c>
      <c r="H278" s="10">
        <v>2</v>
      </c>
      <c r="I278" s="10">
        <v>1646</v>
      </c>
      <c r="J278" s="10">
        <v>728</v>
      </c>
      <c r="K278" s="21">
        <v>43483</v>
      </c>
      <c r="L278" s="24" t="s">
        <v>157</v>
      </c>
      <c r="M278" s="236">
        <f t="shared" si="4"/>
        <v>2018200</v>
      </c>
    </row>
    <row r="279" spans="1:13" x14ac:dyDescent="0.3">
      <c r="A279" s="2">
        <v>2018071</v>
      </c>
      <c r="B279" s="24" t="s">
        <v>454</v>
      </c>
      <c r="C279" s="1" t="s">
        <v>38</v>
      </c>
      <c r="D279" s="10" t="s">
        <v>845</v>
      </c>
      <c r="E279" s="10" t="s">
        <v>1542</v>
      </c>
      <c r="F279" s="10">
        <v>3729602</v>
      </c>
      <c r="G279" s="10" t="s">
        <v>846</v>
      </c>
      <c r="H279" s="27" t="s">
        <v>715</v>
      </c>
      <c r="I279" s="10">
        <v>823</v>
      </c>
      <c r="J279" s="10">
        <v>364</v>
      </c>
      <c r="K279" s="21">
        <v>43483</v>
      </c>
      <c r="L279" s="24" t="s">
        <v>156</v>
      </c>
      <c r="M279" s="236">
        <f t="shared" si="4"/>
        <v>2018071</v>
      </c>
    </row>
    <row r="280" spans="1:13" x14ac:dyDescent="0.3">
      <c r="A280" s="2">
        <v>2018072</v>
      </c>
      <c r="B280" s="24" t="s">
        <v>1483</v>
      </c>
      <c r="C280" s="1" t="s">
        <v>1484</v>
      </c>
      <c r="D280" s="10" t="s">
        <v>204</v>
      </c>
      <c r="E280" s="10" t="s">
        <v>205</v>
      </c>
      <c r="F280" s="10">
        <v>3549730014</v>
      </c>
      <c r="G280" s="10" t="s">
        <v>1485</v>
      </c>
      <c r="H280" s="10">
        <v>3</v>
      </c>
      <c r="I280" s="27" t="s">
        <v>715</v>
      </c>
      <c r="J280" s="27" t="s">
        <v>715</v>
      </c>
      <c r="K280" s="21">
        <v>43479</v>
      </c>
      <c r="L280" s="24" t="s">
        <v>246</v>
      </c>
      <c r="M280" s="236">
        <f t="shared" si="4"/>
        <v>2018072</v>
      </c>
    </row>
    <row r="281" spans="1:13" x14ac:dyDescent="0.3">
      <c r="A281" s="2">
        <v>2018427</v>
      </c>
      <c r="B281" s="24" t="s">
        <v>1853</v>
      </c>
      <c r="C281" s="1" t="s">
        <v>1854</v>
      </c>
      <c r="D281" s="10" t="s">
        <v>1033</v>
      </c>
      <c r="E281" s="27" t="s">
        <v>1855</v>
      </c>
      <c r="F281" s="27">
        <v>5264188</v>
      </c>
      <c r="G281" s="10" t="s">
        <v>1034</v>
      </c>
      <c r="H281" s="27">
        <v>0</v>
      </c>
      <c r="I281" s="10">
        <v>500</v>
      </c>
      <c r="J281" s="10">
        <v>500</v>
      </c>
      <c r="K281" s="21"/>
      <c r="L281" s="24" t="s">
        <v>368</v>
      </c>
      <c r="M281" s="236">
        <f t="shared" si="4"/>
        <v>2018427</v>
      </c>
    </row>
    <row r="282" spans="1:13" x14ac:dyDescent="0.3">
      <c r="A282" s="2">
        <v>2020055</v>
      </c>
      <c r="B282" s="24" t="s">
        <v>1737</v>
      </c>
      <c r="C282" s="1" t="s">
        <v>1738</v>
      </c>
      <c r="D282" s="10" t="s">
        <v>1739</v>
      </c>
      <c r="E282" s="10" t="s">
        <v>1740</v>
      </c>
      <c r="F282" s="10">
        <v>4068329017</v>
      </c>
      <c r="G282" s="10" t="s">
        <v>1741</v>
      </c>
      <c r="H282" s="10">
        <v>0</v>
      </c>
      <c r="I282" s="10">
        <v>823</v>
      </c>
      <c r="J282" s="10">
        <v>364</v>
      </c>
      <c r="K282" s="22"/>
      <c r="L282" s="24" t="s">
        <v>156</v>
      </c>
      <c r="M282" s="236">
        <f t="shared" si="4"/>
        <v>2020055</v>
      </c>
    </row>
    <row r="283" spans="1:13" x14ac:dyDescent="0.3">
      <c r="A283" s="2">
        <v>2018013</v>
      </c>
      <c r="B283" s="24" t="s">
        <v>1185</v>
      </c>
      <c r="C283" s="1" t="s">
        <v>6</v>
      </c>
      <c r="D283" s="10" t="s">
        <v>1182</v>
      </c>
      <c r="E283" s="10" t="s">
        <v>1183</v>
      </c>
      <c r="F283" s="10">
        <v>2475071</v>
      </c>
      <c r="G283" s="10" t="s">
        <v>1184</v>
      </c>
      <c r="H283" s="10">
        <v>0</v>
      </c>
      <c r="I283" s="10">
        <v>1614</v>
      </c>
      <c r="J283" s="10">
        <v>357</v>
      </c>
      <c r="K283" s="21">
        <v>43480</v>
      </c>
      <c r="L283" s="24" t="s">
        <v>156</v>
      </c>
      <c r="M283" s="236">
        <f t="shared" si="4"/>
        <v>2018013</v>
      </c>
    </row>
    <row r="284" spans="1:13" x14ac:dyDescent="0.3">
      <c r="A284" s="2">
        <v>2018117</v>
      </c>
      <c r="B284" s="24" t="s">
        <v>67</v>
      </c>
      <c r="C284" s="1" t="s">
        <v>56</v>
      </c>
      <c r="D284" s="10" t="s">
        <v>1182</v>
      </c>
      <c r="E284" s="10"/>
      <c r="F284" s="10"/>
      <c r="G284" s="10" t="s">
        <v>1184</v>
      </c>
      <c r="H284" s="10">
        <v>0</v>
      </c>
      <c r="I284" s="10">
        <v>1614</v>
      </c>
      <c r="J284" s="10">
        <v>357</v>
      </c>
      <c r="K284" s="21">
        <v>43480</v>
      </c>
      <c r="L284" s="24" t="s">
        <v>156</v>
      </c>
      <c r="M284" s="236">
        <f t="shared" si="4"/>
        <v>2018117</v>
      </c>
    </row>
    <row r="285" spans="1:13" x14ac:dyDescent="0.3">
      <c r="A285" s="2">
        <v>2018380</v>
      </c>
      <c r="B285" s="24" t="s">
        <v>1798</v>
      </c>
      <c r="C285" s="1" t="s">
        <v>493</v>
      </c>
      <c r="D285" s="10" t="s">
        <v>494</v>
      </c>
      <c r="E285" s="10" t="s">
        <v>252</v>
      </c>
      <c r="F285" s="10" t="s">
        <v>252</v>
      </c>
      <c r="G285" s="10" t="s">
        <v>495</v>
      </c>
      <c r="H285" s="10">
        <v>2</v>
      </c>
      <c r="I285" s="10" t="s">
        <v>279</v>
      </c>
      <c r="J285" s="10" t="s">
        <v>417</v>
      </c>
      <c r="K285" s="21">
        <v>43481</v>
      </c>
      <c r="L285" s="24" t="s">
        <v>156</v>
      </c>
      <c r="M285" s="236">
        <f t="shared" si="4"/>
        <v>2018380</v>
      </c>
    </row>
    <row r="286" spans="1:13" x14ac:dyDescent="0.3">
      <c r="A286" s="2">
        <v>2018379</v>
      </c>
      <c r="B286" s="24" t="s">
        <v>340</v>
      </c>
      <c r="C286" s="1" t="s">
        <v>484</v>
      </c>
      <c r="D286" s="10" t="s">
        <v>485</v>
      </c>
      <c r="E286" s="10" t="s">
        <v>1287</v>
      </c>
      <c r="F286" s="10">
        <v>5915152</v>
      </c>
      <c r="G286" s="10" t="s">
        <v>1288</v>
      </c>
      <c r="H286" s="10"/>
      <c r="I286" s="10">
        <v>839</v>
      </c>
      <c r="J286" s="10">
        <v>371</v>
      </c>
      <c r="K286" s="21">
        <v>43481</v>
      </c>
      <c r="L286" s="24" t="s">
        <v>156</v>
      </c>
      <c r="M286" s="236">
        <f t="shared" si="4"/>
        <v>2018379</v>
      </c>
    </row>
    <row r="287" spans="1:13" x14ac:dyDescent="0.3">
      <c r="A287" s="2">
        <v>2020083</v>
      </c>
      <c r="B287" s="24" t="s">
        <v>1910</v>
      </c>
      <c r="C287" s="1" t="s">
        <v>1911</v>
      </c>
      <c r="D287" s="10" t="s">
        <v>1913</v>
      </c>
      <c r="E287" s="10" t="s">
        <v>1914</v>
      </c>
      <c r="F287" s="10">
        <v>6433459017</v>
      </c>
      <c r="G287" s="10" t="s">
        <v>1912</v>
      </c>
      <c r="H287" s="10">
        <v>0</v>
      </c>
      <c r="I287" s="10">
        <v>823</v>
      </c>
      <c r="J287" s="10">
        <v>364</v>
      </c>
      <c r="K287" s="22"/>
      <c r="L287" s="24" t="s">
        <v>156</v>
      </c>
      <c r="M287" s="236">
        <f t="shared" si="4"/>
        <v>2020083</v>
      </c>
    </row>
    <row r="288" spans="1:13" x14ac:dyDescent="0.3">
      <c r="A288" s="2">
        <v>2020017</v>
      </c>
      <c r="B288" s="24" t="s">
        <v>1377</v>
      </c>
      <c r="C288" s="1" t="s">
        <v>1378</v>
      </c>
      <c r="D288" s="10" t="s">
        <v>1379</v>
      </c>
      <c r="E288" s="27" t="s">
        <v>715</v>
      </c>
      <c r="F288" s="10">
        <v>960338013</v>
      </c>
      <c r="G288" s="27" t="s">
        <v>715</v>
      </c>
      <c r="H288" s="27" t="s">
        <v>715</v>
      </c>
      <c r="I288" s="27" t="s">
        <v>715</v>
      </c>
      <c r="J288" s="27" t="s">
        <v>715</v>
      </c>
      <c r="K288" s="22"/>
      <c r="L288" s="24" t="s">
        <v>589</v>
      </c>
      <c r="M288" s="236">
        <f t="shared" si="4"/>
        <v>2020017</v>
      </c>
    </row>
    <row r="289" spans="1:13" x14ac:dyDescent="0.3">
      <c r="A289" s="2">
        <v>2020048</v>
      </c>
      <c r="B289" s="24" t="s">
        <v>1677</v>
      </c>
      <c r="C289" s="1" t="s">
        <v>1676</v>
      </c>
      <c r="D289" s="10" t="s">
        <v>1673</v>
      </c>
      <c r="E289" s="10" t="s">
        <v>1673</v>
      </c>
      <c r="F289" s="10" t="s">
        <v>1674</v>
      </c>
      <c r="G289" s="10" t="s">
        <v>1675</v>
      </c>
      <c r="H289" s="27" t="s">
        <v>715</v>
      </c>
      <c r="I289" s="10">
        <v>823</v>
      </c>
      <c r="J289" s="10">
        <v>364</v>
      </c>
      <c r="K289" s="22"/>
      <c r="L289" s="24" t="s">
        <v>156</v>
      </c>
      <c r="M289" s="236">
        <f t="shared" si="4"/>
        <v>2020048</v>
      </c>
    </row>
    <row r="290" spans="1:13" x14ac:dyDescent="0.3">
      <c r="A290" s="2">
        <v>2018297</v>
      </c>
      <c r="B290" s="24" t="s">
        <v>666</v>
      </c>
      <c r="C290" s="1" t="s">
        <v>1004</v>
      </c>
      <c r="D290" s="10" t="s">
        <v>1002</v>
      </c>
      <c r="E290" s="27" t="s">
        <v>715</v>
      </c>
      <c r="F290" s="27" t="s">
        <v>715</v>
      </c>
      <c r="G290" s="10" t="s">
        <v>1003</v>
      </c>
      <c r="H290" s="27">
        <v>2</v>
      </c>
      <c r="I290" s="10">
        <v>1614</v>
      </c>
      <c r="J290" s="10">
        <v>714</v>
      </c>
      <c r="K290" s="21">
        <v>43481</v>
      </c>
      <c r="L290" s="24" t="s">
        <v>157</v>
      </c>
      <c r="M290" s="236">
        <f t="shared" si="4"/>
        <v>2018297</v>
      </c>
    </row>
    <row r="291" spans="1:13" x14ac:dyDescent="0.3">
      <c r="A291" s="2">
        <v>2020025</v>
      </c>
      <c r="B291" s="24" t="s">
        <v>105</v>
      </c>
      <c r="C291" s="1" t="s">
        <v>1948</v>
      </c>
      <c r="D291" s="10" t="s">
        <v>1426</v>
      </c>
      <c r="E291" s="10" t="s">
        <v>1427</v>
      </c>
      <c r="F291" s="10">
        <v>3720564014</v>
      </c>
      <c r="G291" s="10" t="s">
        <v>1428</v>
      </c>
      <c r="H291" s="10">
        <v>2</v>
      </c>
      <c r="I291" s="27" t="s">
        <v>715</v>
      </c>
      <c r="J291" s="27" t="s">
        <v>715</v>
      </c>
      <c r="K291" s="22"/>
      <c r="L291" s="24" t="s">
        <v>157</v>
      </c>
      <c r="M291" s="236">
        <f t="shared" si="4"/>
        <v>2020025</v>
      </c>
    </row>
    <row r="292" spans="1:13" x14ac:dyDescent="0.3">
      <c r="A292" s="2">
        <v>2020004</v>
      </c>
      <c r="B292" s="24" t="s">
        <v>1186</v>
      </c>
      <c r="C292" s="1" t="s">
        <v>1268</v>
      </c>
      <c r="D292" s="10" t="s">
        <v>1269</v>
      </c>
      <c r="E292" s="10">
        <v>0</v>
      </c>
      <c r="F292" s="10">
        <v>0</v>
      </c>
      <c r="G292" s="10" t="s">
        <v>1270</v>
      </c>
      <c r="H292" s="10">
        <v>1</v>
      </c>
      <c r="I292" s="10"/>
      <c r="J292" s="10"/>
      <c r="K292" s="22" t="s">
        <v>1271</v>
      </c>
      <c r="L292" s="24" t="s">
        <v>157</v>
      </c>
      <c r="M292" s="236">
        <f t="shared" si="4"/>
        <v>2020004</v>
      </c>
    </row>
    <row r="293" spans="1:13" x14ac:dyDescent="0.3">
      <c r="A293" s="2">
        <v>2020050</v>
      </c>
      <c r="B293" s="24" t="s">
        <v>130</v>
      </c>
      <c r="C293" s="1" t="s">
        <v>1268</v>
      </c>
      <c r="D293" s="10" t="s">
        <v>1710</v>
      </c>
      <c r="E293" s="27" t="s">
        <v>715</v>
      </c>
      <c r="F293" s="27" t="s">
        <v>715</v>
      </c>
      <c r="G293" s="10" t="s">
        <v>1711</v>
      </c>
      <c r="H293" s="27" t="s">
        <v>715</v>
      </c>
      <c r="I293" s="27" t="s">
        <v>715</v>
      </c>
      <c r="J293" s="27" t="s">
        <v>715</v>
      </c>
      <c r="K293" s="22"/>
      <c r="L293" s="24" t="s">
        <v>157</v>
      </c>
      <c r="M293" s="236">
        <f t="shared" si="4"/>
        <v>2020050</v>
      </c>
    </row>
    <row r="294" spans="1:13" x14ac:dyDescent="0.3">
      <c r="A294" s="2">
        <v>2018437</v>
      </c>
      <c r="B294" s="24" t="s">
        <v>328</v>
      </c>
      <c r="C294" s="1" t="s">
        <v>1063</v>
      </c>
      <c r="D294" s="10" t="s">
        <v>1064</v>
      </c>
      <c r="E294" s="27" t="s">
        <v>715</v>
      </c>
      <c r="F294" s="27" t="s">
        <v>715</v>
      </c>
      <c r="G294" s="10" t="s">
        <v>1065</v>
      </c>
      <c r="H294" s="27" t="s">
        <v>715</v>
      </c>
      <c r="I294" s="27" t="s">
        <v>715</v>
      </c>
      <c r="J294" s="27" t="s">
        <v>715</v>
      </c>
      <c r="K294" s="21">
        <v>43483</v>
      </c>
      <c r="L294" s="24" t="s">
        <v>156</v>
      </c>
      <c r="M294" s="236">
        <f t="shared" si="4"/>
        <v>2018437</v>
      </c>
    </row>
    <row r="295" spans="1:13" x14ac:dyDescent="0.3">
      <c r="A295" s="2">
        <v>2020079</v>
      </c>
      <c r="B295" s="24" t="s">
        <v>368</v>
      </c>
      <c r="C295" s="1" t="s">
        <v>1888</v>
      </c>
      <c r="D295" s="10" t="s">
        <v>1889</v>
      </c>
      <c r="E295" s="10" t="s">
        <v>1890</v>
      </c>
      <c r="F295" s="10">
        <v>3753157</v>
      </c>
      <c r="G295" s="10" t="s">
        <v>1891</v>
      </c>
      <c r="H295" s="10">
        <v>0</v>
      </c>
      <c r="I295" s="10">
        <v>500</v>
      </c>
      <c r="J295" s="10">
        <v>500</v>
      </c>
      <c r="K295" s="22"/>
      <c r="L295" s="24" t="s">
        <v>368</v>
      </c>
      <c r="M295" s="236">
        <f t="shared" si="4"/>
        <v>2020079</v>
      </c>
    </row>
    <row r="296" spans="1:13" x14ac:dyDescent="0.3">
      <c r="A296" s="2">
        <v>2018298</v>
      </c>
      <c r="B296" s="24" t="s">
        <v>116</v>
      </c>
      <c r="C296" s="1" t="s">
        <v>114</v>
      </c>
      <c r="D296" s="10" t="s">
        <v>766</v>
      </c>
      <c r="E296" s="27" t="s">
        <v>715</v>
      </c>
      <c r="F296" s="27" t="s">
        <v>715</v>
      </c>
      <c r="G296" s="10" t="s">
        <v>765</v>
      </c>
      <c r="H296" s="10">
        <v>0</v>
      </c>
      <c r="I296" s="10">
        <v>807</v>
      </c>
      <c r="J296" s="10">
        <v>598</v>
      </c>
      <c r="K296" s="21">
        <v>43483</v>
      </c>
      <c r="L296" s="24" t="s">
        <v>157</v>
      </c>
      <c r="M296" s="236">
        <f t="shared" si="4"/>
        <v>2018298</v>
      </c>
    </row>
    <row r="297" spans="1:13" x14ac:dyDescent="0.3">
      <c r="A297" s="2">
        <v>2018139</v>
      </c>
      <c r="B297" s="24" t="s">
        <v>1387</v>
      </c>
      <c r="C297" s="1" t="s">
        <v>393</v>
      </c>
      <c r="D297" s="10" t="s">
        <v>1388</v>
      </c>
      <c r="E297" s="10" t="s">
        <v>394</v>
      </c>
      <c r="F297" s="10">
        <v>5246623016</v>
      </c>
      <c r="G297" s="10" t="s">
        <v>395</v>
      </c>
      <c r="H297" s="10">
        <v>2</v>
      </c>
      <c r="I297" s="27" t="s">
        <v>715</v>
      </c>
      <c r="J297" s="27" t="s">
        <v>715</v>
      </c>
      <c r="K297" s="21">
        <v>43480</v>
      </c>
      <c r="L297" s="24" t="s">
        <v>280</v>
      </c>
      <c r="M297" s="236">
        <f t="shared" si="4"/>
        <v>2018139</v>
      </c>
    </row>
    <row r="298" spans="1:13" x14ac:dyDescent="0.3">
      <c r="A298" s="2">
        <v>2020006</v>
      </c>
      <c r="B298" s="24" t="s">
        <v>1155</v>
      </c>
      <c r="C298" s="1" t="s">
        <v>1279</v>
      </c>
      <c r="D298" s="10" t="s">
        <v>1280</v>
      </c>
      <c r="E298" s="10" t="s">
        <v>1281</v>
      </c>
      <c r="F298" s="10">
        <v>2472224</v>
      </c>
      <c r="G298" s="10" t="s">
        <v>1282</v>
      </c>
      <c r="H298" s="27" t="s">
        <v>715</v>
      </c>
      <c r="I298" s="10">
        <v>839</v>
      </c>
      <c r="J298" s="10">
        <v>371</v>
      </c>
      <c r="K298" s="22" t="s">
        <v>1271</v>
      </c>
      <c r="L298" s="24" t="s">
        <v>211</v>
      </c>
      <c r="M298" s="236">
        <f t="shared" si="4"/>
        <v>2020006</v>
      </c>
    </row>
    <row r="299" spans="1:13" x14ac:dyDescent="0.3">
      <c r="A299" s="2">
        <v>2018235</v>
      </c>
      <c r="B299" s="58" t="s">
        <v>1246</v>
      </c>
      <c r="C299" s="1" t="s">
        <v>89</v>
      </c>
      <c r="D299" s="10" t="s">
        <v>521</v>
      </c>
      <c r="E299" s="10"/>
      <c r="F299" s="10"/>
      <c r="G299" s="10"/>
      <c r="H299" s="10"/>
      <c r="I299" s="10">
        <v>823</v>
      </c>
      <c r="J299" s="10">
        <v>610</v>
      </c>
      <c r="K299" s="21"/>
      <c r="L299" s="24" t="s">
        <v>157</v>
      </c>
      <c r="M299" s="236">
        <f t="shared" si="4"/>
        <v>2018235</v>
      </c>
    </row>
    <row r="300" spans="1:13" x14ac:dyDescent="0.3">
      <c r="A300" s="2">
        <v>2018043</v>
      </c>
      <c r="B300" s="24" t="s">
        <v>313</v>
      </c>
      <c r="C300" s="1" t="s">
        <v>813</v>
      </c>
      <c r="D300" s="10" t="s">
        <v>811</v>
      </c>
      <c r="E300" s="27" t="s">
        <v>1577</v>
      </c>
      <c r="F300" s="27">
        <v>5256031</v>
      </c>
      <c r="G300" s="10" t="s">
        <v>812</v>
      </c>
      <c r="H300" s="10">
        <v>2</v>
      </c>
      <c r="I300" s="10">
        <v>1646</v>
      </c>
      <c r="J300" s="10">
        <v>728</v>
      </c>
      <c r="K300" s="21">
        <v>43483</v>
      </c>
      <c r="L300" s="24" t="s">
        <v>568</v>
      </c>
      <c r="M300" s="236">
        <f t="shared" si="4"/>
        <v>2018043</v>
      </c>
    </row>
    <row r="301" spans="1:13" x14ac:dyDescent="0.3">
      <c r="A301" s="2">
        <v>2018073</v>
      </c>
      <c r="B301" s="24" t="s">
        <v>454</v>
      </c>
      <c r="C301" s="1" t="s">
        <v>39</v>
      </c>
      <c r="D301" s="10" t="s">
        <v>539</v>
      </c>
      <c r="E301" s="10" t="s">
        <v>540</v>
      </c>
      <c r="F301" s="10">
        <v>3813458</v>
      </c>
      <c r="G301" s="10" t="s">
        <v>541</v>
      </c>
      <c r="H301" s="27" t="s">
        <v>715</v>
      </c>
      <c r="I301" s="10">
        <v>823</v>
      </c>
      <c r="J301" s="10">
        <v>364</v>
      </c>
      <c r="K301" s="21"/>
      <c r="L301" s="24" t="s">
        <v>156</v>
      </c>
      <c r="M301" s="236">
        <f t="shared" si="4"/>
        <v>2018073</v>
      </c>
    </row>
    <row r="302" spans="1:13" x14ac:dyDescent="0.3">
      <c r="A302" s="2">
        <v>2018096</v>
      </c>
      <c r="B302" s="24" t="s">
        <v>1455</v>
      </c>
      <c r="C302" s="1" t="s">
        <v>376</v>
      </c>
      <c r="D302" s="10" t="s">
        <v>373</v>
      </c>
      <c r="E302" s="27" t="s">
        <v>715</v>
      </c>
      <c r="F302" s="27" t="s">
        <v>715</v>
      </c>
      <c r="G302" s="10" t="s">
        <v>374</v>
      </c>
      <c r="H302" s="27" t="s">
        <v>715</v>
      </c>
      <c r="I302" s="27" t="s">
        <v>715</v>
      </c>
      <c r="J302" s="27" t="s">
        <v>715</v>
      </c>
      <c r="K302" s="21">
        <v>43480</v>
      </c>
      <c r="L302" s="24" t="s">
        <v>156</v>
      </c>
      <c r="M302" s="236">
        <f t="shared" si="4"/>
        <v>2018096</v>
      </c>
    </row>
    <row r="303" spans="1:13" x14ac:dyDescent="0.3">
      <c r="A303" s="2">
        <v>2018404</v>
      </c>
      <c r="B303" s="24" t="s">
        <v>328</v>
      </c>
      <c r="C303" s="1" t="s">
        <v>795</v>
      </c>
      <c r="D303" s="10" t="s">
        <v>796</v>
      </c>
      <c r="E303" s="27" t="s">
        <v>715</v>
      </c>
      <c r="F303" s="27" t="s">
        <v>715</v>
      </c>
      <c r="G303" s="10" t="s">
        <v>797</v>
      </c>
      <c r="H303" s="27" t="s">
        <v>715</v>
      </c>
      <c r="I303" s="27" t="s">
        <v>715</v>
      </c>
      <c r="J303" s="27" t="s">
        <v>715</v>
      </c>
      <c r="K303" s="21">
        <v>43483</v>
      </c>
      <c r="L303" s="24" t="s">
        <v>156</v>
      </c>
      <c r="M303" s="236">
        <f t="shared" si="4"/>
        <v>2018404</v>
      </c>
    </row>
    <row r="304" spans="1:13" x14ac:dyDescent="0.3">
      <c r="A304" s="2">
        <v>2018284</v>
      </c>
      <c r="B304" s="24" t="s">
        <v>1757</v>
      </c>
      <c r="C304" s="1" t="s">
        <v>1756</v>
      </c>
      <c r="D304" s="10" t="s">
        <v>960</v>
      </c>
      <c r="E304" s="10" t="s">
        <v>966</v>
      </c>
      <c r="F304" s="10">
        <v>1105150</v>
      </c>
      <c r="G304" s="10" t="s">
        <v>967</v>
      </c>
      <c r="H304" s="10">
        <v>2</v>
      </c>
      <c r="I304" s="10">
        <v>823</v>
      </c>
      <c r="J304" s="10">
        <v>610</v>
      </c>
      <c r="K304" s="21"/>
      <c r="L304" s="24" t="s">
        <v>157</v>
      </c>
      <c r="M304" s="236">
        <f t="shared" si="4"/>
        <v>2018284</v>
      </c>
    </row>
    <row r="305" spans="1:13" x14ac:dyDescent="0.3">
      <c r="A305" s="2">
        <v>2018163</v>
      </c>
      <c r="B305" s="24" t="s">
        <v>458</v>
      </c>
      <c r="C305" s="1" t="s">
        <v>671</v>
      </c>
      <c r="D305" s="10" t="s">
        <v>672</v>
      </c>
      <c r="E305" s="10" t="s">
        <v>673</v>
      </c>
      <c r="F305" s="10">
        <v>3106699</v>
      </c>
      <c r="G305" s="10" t="s">
        <v>674</v>
      </c>
      <c r="H305" s="10">
        <v>2</v>
      </c>
      <c r="I305" s="10" t="s">
        <v>1447</v>
      </c>
      <c r="J305" s="10" t="s">
        <v>1448</v>
      </c>
      <c r="K305" s="21">
        <v>43483</v>
      </c>
      <c r="L305" s="24" t="s">
        <v>156</v>
      </c>
      <c r="M305" s="236">
        <f t="shared" si="4"/>
        <v>2018163</v>
      </c>
    </row>
    <row r="306" spans="1:13" x14ac:dyDescent="0.3">
      <c r="A306" s="2">
        <v>2020028</v>
      </c>
      <c r="B306" s="24" t="s">
        <v>1457</v>
      </c>
      <c r="C306" s="1" t="s">
        <v>1456</v>
      </c>
      <c r="D306" s="10" t="s">
        <v>1458</v>
      </c>
      <c r="E306" s="10" t="s">
        <v>1459</v>
      </c>
      <c r="F306" s="10">
        <v>3815602</v>
      </c>
      <c r="G306" s="10" t="s">
        <v>1460</v>
      </c>
      <c r="H306" s="10">
        <v>2</v>
      </c>
      <c r="I306" s="27" t="s">
        <v>715</v>
      </c>
      <c r="J306" s="27" t="s">
        <v>715</v>
      </c>
      <c r="K306" s="22"/>
      <c r="L306" s="24" t="s">
        <v>589</v>
      </c>
      <c r="M306" s="236">
        <f t="shared" si="4"/>
        <v>2020028</v>
      </c>
    </row>
    <row r="307" spans="1:13" x14ac:dyDescent="0.3">
      <c r="A307" s="2">
        <v>2020023</v>
      </c>
      <c r="B307" s="24" t="s">
        <v>1414</v>
      </c>
      <c r="C307" s="1" t="s">
        <v>1415</v>
      </c>
      <c r="D307" s="10" t="s">
        <v>1416</v>
      </c>
      <c r="E307" s="10" t="s">
        <v>1417</v>
      </c>
      <c r="F307" s="10">
        <v>4466169</v>
      </c>
      <c r="G307" s="10" t="s">
        <v>1418</v>
      </c>
      <c r="H307" s="10">
        <v>0</v>
      </c>
      <c r="I307" s="10">
        <v>839</v>
      </c>
      <c r="J307" s="10">
        <v>371</v>
      </c>
      <c r="K307" s="22" t="s">
        <v>1271</v>
      </c>
      <c r="L307" s="24" t="s">
        <v>1414</v>
      </c>
      <c r="M307" s="236">
        <f t="shared" si="4"/>
        <v>2020023</v>
      </c>
    </row>
    <row r="308" spans="1:13" x14ac:dyDescent="0.3">
      <c r="A308" s="2">
        <v>2018097</v>
      </c>
      <c r="B308" s="24" t="s">
        <v>71</v>
      </c>
      <c r="C308" s="1" t="s">
        <v>51</v>
      </c>
      <c r="D308" s="10" t="s">
        <v>343</v>
      </c>
      <c r="E308" s="10" t="s">
        <v>1332</v>
      </c>
      <c r="F308" s="10">
        <v>3793051012</v>
      </c>
      <c r="G308" s="10" t="s">
        <v>344</v>
      </c>
      <c r="H308" s="27" t="s">
        <v>715</v>
      </c>
      <c r="I308" s="10">
        <v>839</v>
      </c>
      <c r="J308" s="10">
        <v>371</v>
      </c>
      <c r="K308" s="21">
        <v>43480</v>
      </c>
      <c r="L308" s="24" t="s">
        <v>156</v>
      </c>
      <c r="M308" s="236">
        <f t="shared" si="4"/>
        <v>2018097</v>
      </c>
    </row>
    <row r="309" spans="1:13" x14ac:dyDescent="0.3">
      <c r="A309" s="2">
        <v>2020058</v>
      </c>
      <c r="B309" s="24" t="s">
        <v>1764</v>
      </c>
      <c r="C309" s="1" t="s">
        <v>1765</v>
      </c>
      <c r="D309" s="10" t="s">
        <v>1766</v>
      </c>
      <c r="E309" s="10" t="s">
        <v>748</v>
      </c>
      <c r="F309" s="10" t="s">
        <v>748</v>
      </c>
      <c r="G309" s="10" t="s">
        <v>1767</v>
      </c>
      <c r="H309" s="10">
        <v>0</v>
      </c>
      <c r="I309" s="10">
        <v>823</v>
      </c>
      <c r="J309" s="10">
        <v>377</v>
      </c>
      <c r="K309" s="22"/>
      <c r="L309" s="24" t="s">
        <v>157</v>
      </c>
      <c r="M309" s="236">
        <f t="shared" si="4"/>
        <v>2020058</v>
      </c>
    </row>
    <row r="310" spans="1:13" x14ac:dyDescent="0.3">
      <c r="A310" s="2">
        <v>2018219</v>
      </c>
      <c r="B310" s="24" t="s">
        <v>997</v>
      </c>
      <c r="C310" s="1" t="s">
        <v>84</v>
      </c>
      <c r="D310" s="10" t="s">
        <v>1096</v>
      </c>
      <c r="E310" s="27" t="s">
        <v>1097</v>
      </c>
      <c r="F310" s="10"/>
      <c r="G310" s="10" t="s">
        <v>1098</v>
      </c>
      <c r="H310" s="10"/>
      <c r="I310" s="10">
        <v>807</v>
      </c>
      <c r="J310" s="10">
        <v>357</v>
      </c>
      <c r="K310" s="21">
        <v>43480</v>
      </c>
      <c r="L310" s="24" t="s">
        <v>156</v>
      </c>
      <c r="M310" s="236">
        <f t="shared" si="4"/>
        <v>2018219</v>
      </c>
    </row>
    <row r="311" spans="1:13" x14ac:dyDescent="0.3">
      <c r="A311" s="2">
        <v>2018270</v>
      </c>
      <c r="B311" s="24" t="s">
        <v>108</v>
      </c>
      <c r="C311" s="1" t="s">
        <v>102</v>
      </c>
      <c r="D311" s="10" t="s">
        <v>1096</v>
      </c>
      <c r="E311" s="27" t="s">
        <v>1097</v>
      </c>
      <c r="F311" s="10"/>
      <c r="G311" s="10" t="s">
        <v>1098</v>
      </c>
      <c r="H311" s="10"/>
      <c r="I311" s="10"/>
      <c r="J311" s="10"/>
      <c r="K311" s="21">
        <v>43480</v>
      </c>
      <c r="L311" s="24" t="s">
        <v>157</v>
      </c>
      <c r="M311" s="236">
        <f t="shared" si="4"/>
        <v>2018270</v>
      </c>
    </row>
    <row r="312" spans="1:13" x14ac:dyDescent="0.3">
      <c r="A312" s="2">
        <v>2018014</v>
      </c>
      <c r="B312" s="24" t="s">
        <v>53</v>
      </c>
      <c r="C312" s="1" t="s">
        <v>1095</v>
      </c>
      <c r="D312" s="10" t="s">
        <v>1096</v>
      </c>
      <c r="E312" s="27" t="s">
        <v>1097</v>
      </c>
      <c r="F312" s="10"/>
      <c r="G312" s="10" t="s">
        <v>1098</v>
      </c>
      <c r="H312" s="10"/>
      <c r="I312" s="10"/>
      <c r="J312" s="10">
        <v>357</v>
      </c>
      <c r="K312" s="21">
        <v>43480</v>
      </c>
      <c r="L312" s="24" t="s">
        <v>156</v>
      </c>
      <c r="M312" s="236">
        <f t="shared" si="4"/>
        <v>2018014</v>
      </c>
    </row>
    <row r="313" spans="1:13" x14ac:dyDescent="0.3">
      <c r="A313" s="2">
        <v>2018432</v>
      </c>
      <c r="B313" s="24" t="s">
        <v>212</v>
      </c>
      <c r="C313" s="1" t="s">
        <v>1385</v>
      </c>
      <c r="D313" s="10" t="s">
        <v>1051</v>
      </c>
      <c r="E313" s="10" t="s">
        <v>1386</v>
      </c>
      <c r="F313" s="10">
        <v>6439717012</v>
      </c>
      <c r="G313" s="10" t="s">
        <v>1052</v>
      </c>
      <c r="H313" s="27" t="s">
        <v>715</v>
      </c>
      <c r="I313" s="10">
        <v>1678</v>
      </c>
      <c r="J313" s="10">
        <v>742</v>
      </c>
      <c r="K313" s="21">
        <v>43483</v>
      </c>
      <c r="L313" s="24" t="s">
        <v>156</v>
      </c>
      <c r="M313" s="236">
        <f t="shared" si="4"/>
        <v>2018432</v>
      </c>
    </row>
    <row r="314" spans="1:13" x14ac:dyDescent="0.3">
      <c r="A314" s="2">
        <v>2018203</v>
      </c>
      <c r="B314" s="58" t="s">
        <v>408</v>
      </c>
      <c r="C314" s="1" t="s">
        <v>902</v>
      </c>
      <c r="D314" s="10" t="s">
        <v>903</v>
      </c>
      <c r="E314" s="10" t="s">
        <v>904</v>
      </c>
      <c r="F314" s="10">
        <v>790718017</v>
      </c>
      <c r="G314" s="10" t="s">
        <v>905</v>
      </c>
      <c r="H314" s="10">
        <v>2</v>
      </c>
      <c r="I314" s="10">
        <v>1646</v>
      </c>
      <c r="J314" s="10">
        <v>974</v>
      </c>
      <c r="K314" s="21">
        <v>43481</v>
      </c>
      <c r="L314" s="24" t="s">
        <v>280</v>
      </c>
      <c r="M314" s="236">
        <f t="shared" si="4"/>
        <v>2018203</v>
      </c>
    </row>
    <row r="315" spans="1:13" x14ac:dyDescent="0.3">
      <c r="A315" s="2">
        <v>2018165</v>
      </c>
      <c r="B315" s="24" t="s">
        <v>1452</v>
      </c>
      <c r="C315" s="1" t="s">
        <v>722</v>
      </c>
      <c r="D315" s="10" t="s">
        <v>723</v>
      </c>
      <c r="E315" s="27" t="s">
        <v>1627</v>
      </c>
      <c r="F315" s="10">
        <v>3055749019</v>
      </c>
      <c r="G315" s="10" t="s">
        <v>724</v>
      </c>
      <c r="H315" s="10">
        <v>2</v>
      </c>
      <c r="I315" s="10">
        <v>1646</v>
      </c>
      <c r="J315" s="10">
        <v>974</v>
      </c>
      <c r="K315" s="21"/>
      <c r="L315" s="24" t="s">
        <v>280</v>
      </c>
      <c r="M315" s="236">
        <f t="shared" si="4"/>
        <v>2018165</v>
      </c>
    </row>
    <row r="316" spans="1:13" x14ac:dyDescent="0.3">
      <c r="A316" s="2">
        <v>2018166</v>
      </c>
      <c r="B316" s="24" t="s">
        <v>1452</v>
      </c>
      <c r="C316" s="1" t="s">
        <v>1453</v>
      </c>
      <c r="D316" s="10" t="s">
        <v>277</v>
      </c>
      <c r="E316" s="10" t="s">
        <v>1454</v>
      </c>
      <c r="F316" s="10">
        <v>3127840</v>
      </c>
      <c r="G316" s="10" t="s">
        <v>278</v>
      </c>
      <c r="H316" s="10">
        <v>2</v>
      </c>
      <c r="I316" s="10" t="s">
        <v>1447</v>
      </c>
      <c r="J316" s="27" t="s">
        <v>715</v>
      </c>
      <c r="K316" s="21">
        <v>43480</v>
      </c>
      <c r="L316" s="24" t="s">
        <v>280</v>
      </c>
      <c r="M316" s="236">
        <f t="shared" si="4"/>
        <v>2018166</v>
      </c>
    </row>
    <row r="317" spans="1:13" x14ac:dyDescent="0.3">
      <c r="A317" s="2">
        <v>2018044</v>
      </c>
      <c r="B317" s="24" t="s">
        <v>1402</v>
      </c>
      <c r="C317" s="1" t="s">
        <v>222</v>
      </c>
      <c r="D317" s="10" t="s">
        <v>223</v>
      </c>
      <c r="E317" s="10" t="s">
        <v>225</v>
      </c>
      <c r="F317" s="10">
        <v>5155555</v>
      </c>
      <c r="G317" s="10" t="s">
        <v>224</v>
      </c>
      <c r="H317" s="10">
        <v>3</v>
      </c>
      <c r="I317" s="10">
        <v>1678</v>
      </c>
      <c r="J317" s="10">
        <v>1113</v>
      </c>
      <c r="K317" s="21">
        <v>43479</v>
      </c>
      <c r="L317" s="24" t="s">
        <v>156</v>
      </c>
      <c r="M317" s="236">
        <f t="shared" si="4"/>
        <v>2018044</v>
      </c>
    </row>
    <row r="318" spans="1:13" x14ac:dyDescent="0.3">
      <c r="A318" s="2">
        <v>2018271</v>
      </c>
      <c r="B318" s="24" t="s">
        <v>105</v>
      </c>
      <c r="C318" s="1" t="s">
        <v>103</v>
      </c>
      <c r="D318" s="10" t="s">
        <v>930</v>
      </c>
      <c r="E318" s="10" t="s">
        <v>931</v>
      </c>
      <c r="F318" s="10">
        <v>1022253022</v>
      </c>
      <c r="G318" s="10" t="s">
        <v>932</v>
      </c>
      <c r="H318" s="27" t="s">
        <v>715</v>
      </c>
      <c r="I318" s="10">
        <v>807</v>
      </c>
      <c r="J318" s="10">
        <v>598</v>
      </c>
      <c r="K318" s="21">
        <v>43483</v>
      </c>
      <c r="L318" s="24" t="s">
        <v>157</v>
      </c>
      <c r="M318" s="236">
        <f t="shared" si="4"/>
        <v>2018271</v>
      </c>
    </row>
    <row r="319" spans="1:13" x14ac:dyDescent="0.3">
      <c r="A319" s="2">
        <v>2020080</v>
      </c>
      <c r="B319" s="24" t="s">
        <v>156</v>
      </c>
      <c r="C319" s="1" t="s">
        <v>1894</v>
      </c>
      <c r="D319" s="10" t="s">
        <v>1895</v>
      </c>
      <c r="E319" s="10"/>
      <c r="F319" s="10"/>
      <c r="G319" s="10" t="s">
        <v>1896</v>
      </c>
      <c r="H319" s="10">
        <v>0</v>
      </c>
      <c r="I319" s="10">
        <v>823</v>
      </c>
      <c r="J319" s="10">
        <v>364</v>
      </c>
      <c r="K319" s="22"/>
      <c r="L319" s="24" t="s">
        <v>156</v>
      </c>
      <c r="M319" s="236">
        <f t="shared" si="4"/>
        <v>2020080</v>
      </c>
    </row>
    <row r="320" spans="1:13" x14ac:dyDescent="0.3">
      <c r="A320" s="2">
        <v>2018455</v>
      </c>
      <c r="B320" s="24" t="s">
        <v>1247</v>
      </c>
      <c r="C320" s="1" t="s">
        <v>1248</v>
      </c>
      <c r="D320" s="10" t="s">
        <v>1158</v>
      </c>
      <c r="E320" s="27" t="s">
        <v>715</v>
      </c>
      <c r="F320" s="27" t="s">
        <v>715</v>
      </c>
      <c r="G320" s="10" t="s">
        <v>1157</v>
      </c>
      <c r="H320" s="27">
        <v>2</v>
      </c>
      <c r="I320" s="10"/>
      <c r="J320" s="10"/>
      <c r="K320" s="21" t="s">
        <v>1249</v>
      </c>
      <c r="L320" s="24" t="s">
        <v>925</v>
      </c>
      <c r="M320" s="236">
        <f t="shared" si="4"/>
        <v>2018455</v>
      </c>
    </row>
    <row r="321" spans="1:13" x14ac:dyDescent="0.3">
      <c r="A321" s="2">
        <v>2018299</v>
      </c>
      <c r="B321" s="24" t="s">
        <v>125</v>
      </c>
      <c r="C321" s="1" t="s">
        <v>115</v>
      </c>
      <c r="D321" s="10" t="s">
        <v>627</v>
      </c>
      <c r="E321" s="10" t="s">
        <v>1715</v>
      </c>
      <c r="F321" s="10">
        <v>3790814</v>
      </c>
      <c r="G321" s="10" t="s">
        <v>628</v>
      </c>
      <c r="H321" s="10">
        <v>0</v>
      </c>
      <c r="I321" s="10">
        <v>823</v>
      </c>
      <c r="J321" s="10">
        <v>610</v>
      </c>
      <c r="K321" s="21"/>
      <c r="L321" s="24" t="s">
        <v>157</v>
      </c>
      <c r="M321" s="236">
        <f t="shared" si="4"/>
        <v>2018299</v>
      </c>
    </row>
    <row r="322" spans="1:13" x14ac:dyDescent="0.3">
      <c r="A322" s="2">
        <v>2020003</v>
      </c>
      <c r="B322" s="24" t="s">
        <v>1261</v>
      </c>
      <c r="C322" s="1" t="s">
        <v>1262</v>
      </c>
      <c r="D322" s="10" t="s">
        <v>1263</v>
      </c>
      <c r="E322" s="10" t="s">
        <v>1264</v>
      </c>
      <c r="F322" s="10">
        <v>4467420</v>
      </c>
      <c r="G322" s="10" t="s">
        <v>1265</v>
      </c>
      <c r="H322" s="10">
        <v>2</v>
      </c>
      <c r="I322" s="10">
        <v>1678</v>
      </c>
      <c r="J322" s="10">
        <v>1244</v>
      </c>
      <c r="K322" s="22" t="s">
        <v>1266</v>
      </c>
      <c r="L322" s="24" t="s">
        <v>1267</v>
      </c>
      <c r="M322" s="236">
        <f t="shared" si="4"/>
        <v>2020003</v>
      </c>
    </row>
    <row r="323" spans="1:13" x14ac:dyDescent="0.3">
      <c r="A323" s="2">
        <v>2018408</v>
      </c>
      <c r="B323" s="24" t="s">
        <v>364</v>
      </c>
      <c r="C323" s="1" t="s">
        <v>830</v>
      </c>
      <c r="D323" s="10" t="s">
        <v>831</v>
      </c>
      <c r="E323" s="10" t="s">
        <v>832</v>
      </c>
      <c r="F323" s="10">
        <v>3546450</v>
      </c>
      <c r="G323" s="10" t="s">
        <v>833</v>
      </c>
      <c r="H323" s="27" t="s">
        <v>715</v>
      </c>
      <c r="I323" s="27" t="s">
        <v>715</v>
      </c>
      <c r="J323" s="27" t="s">
        <v>715</v>
      </c>
      <c r="K323" s="21">
        <v>43483</v>
      </c>
      <c r="L323" s="24" t="s">
        <v>368</v>
      </c>
      <c r="M323" s="236">
        <f t="shared" ref="M323:M386" si="5">A323</f>
        <v>2018408</v>
      </c>
    </row>
    <row r="324" spans="1:13" x14ac:dyDescent="0.3">
      <c r="A324" s="2">
        <v>2020029</v>
      </c>
      <c r="B324" s="58" t="s">
        <v>108</v>
      </c>
      <c r="C324" s="1" t="s">
        <v>1471</v>
      </c>
      <c r="D324" s="10" t="s">
        <v>1472</v>
      </c>
      <c r="E324" s="10" t="s">
        <v>1473</v>
      </c>
      <c r="F324" s="10">
        <v>4267151019</v>
      </c>
      <c r="G324" s="10" t="s">
        <v>1474</v>
      </c>
      <c r="H324" s="27" t="s">
        <v>715</v>
      </c>
      <c r="I324" s="10">
        <v>823</v>
      </c>
      <c r="J324" s="10">
        <v>610</v>
      </c>
      <c r="K324" s="22"/>
      <c r="L324" s="24" t="s">
        <v>157</v>
      </c>
      <c r="M324" s="236">
        <f t="shared" si="5"/>
        <v>2020029</v>
      </c>
    </row>
    <row r="325" spans="1:13" x14ac:dyDescent="0.3">
      <c r="A325" s="2">
        <v>2018469</v>
      </c>
      <c r="B325" s="24" t="s">
        <v>1221</v>
      </c>
      <c r="C325" s="1" t="s">
        <v>1218</v>
      </c>
      <c r="D325" s="10" t="s">
        <v>1219</v>
      </c>
      <c r="E325" s="10"/>
      <c r="F325" s="10"/>
      <c r="G325" s="10" t="s">
        <v>1220</v>
      </c>
      <c r="H325" s="10">
        <v>0</v>
      </c>
      <c r="I325" s="10">
        <v>807</v>
      </c>
      <c r="J325" s="10">
        <v>357</v>
      </c>
      <c r="K325" s="22" t="s">
        <v>1217</v>
      </c>
      <c r="L325" s="24" t="s">
        <v>156</v>
      </c>
      <c r="M325" s="236">
        <f t="shared" si="5"/>
        <v>2018469</v>
      </c>
    </row>
    <row r="326" spans="1:13" x14ac:dyDescent="0.3">
      <c r="A326" s="2">
        <v>2020063</v>
      </c>
      <c r="B326" s="24" t="s">
        <v>1414</v>
      </c>
      <c r="C326" s="1" t="s">
        <v>1804</v>
      </c>
      <c r="D326" s="10" t="s">
        <v>1805</v>
      </c>
      <c r="E326" s="10" t="s">
        <v>1806</v>
      </c>
      <c r="F326" s="10">
        <v>3582354</v>
      </c>
      <c r="G326" s="10" t="s">
        <v>1807</v>
      </c>
      <c r="H326" s="10">
        <v>0</v>
      </c>
      <c r="I326" s="10">
        <v>823</v>
      </c>
      <c r="J326" s="10">
        <v>364</v>
      </c>
      <c r="K326" s="22"/>
      <c r="L326" s="24" t="s">
        <v>211</v>
      </c>
      <c r="M326" s="236">
        <f t="shared" si="5"/>
        <v>2020063</v>
      </c>
    </row>
    <row r="327" spans="1:13" x14ac:dyDescent="0.3">
      <c r="A327" s="2">
        <v>2018300</v>
      </c>
      <c r="B327" s="24" t="s">
        <v>1833</v>
      </c>
      <c r="C327" s="1" t="s">
        <v>1834</v>
      </c>
      <c r="D327" s="10" t="s">
        <v>720</v>
      </c>
      <c r="E327" s="27" t="s">
        <v>748</v>
      </c>
      <c r="F327" s="27" t="s">
        <v>748</v>
      </c>
      <c r="G327" s="10" t="s">
        <v>1835</v>
      </c>
      <c r="H327" s="27">
        <v>0</v>
      </c>
      <c r="I327" s="27">
        <v>700</v>
      </c>
      <c r="J327" s="27">
        <v>0</v>
      </c>
      <c r="K327" s="21"/>
      <c r="L327" s="24" t="s">
        <v>157</v>
      </c>
      <c r="M327" s="236">
        <f t="shared" si="5"/>
        <v>2018300</v>
      </c>
    </row>
    <row r="328" spans="1:13" x14ac:dyDescent="0.3">
      <c r="A328" s="2">
        <v>2018098</v>
      </c>
      <c r="B328" s="24" t="s">
        <v>58</v>
      </c>
      <c r="C328" s="1" t="s">
        <v>52</v>
      </c>
      <c r="D328" s="10"/>
      <c r="E328" s="10"/>
      <c r="F328" s="10"/>
      <c r="G328" s="10"/>
      <c r="H328" s="10"/>
      <c r="I328" s="10"/>
      <c r="J328" s="10"/>
      <c r="K328" s="21"/>
      <c r="L328" s="24" t="s">
        <v>156</v>
      </c>
      <c r="M328" s="236">
        <f t="shared" si="5"/>
        <v>2018098</v>
      </c>
    </row>
    <row r="329" spans="1:13" x14ac:dyDescent="0.3">
      <c r="A329" s="2">
        <v>2018331</v>
      </c>
      <c r="B329" s="24" t="s">
        <v>340</v>
      </c>
      <c r="C329" s="1" t="s">
        <v>1552</v>
      </c>
      <c r="D329" s="10" t="s">
        <v>1553</v>
      </c>
      <c r="E329" s="27" t="s">
        <v>715</v>
      </c>
      <c r="F329" s="27" t="s">
        <v>715</v>
      </c>
      <c r="G329" s="10" t="s">
        <v>1554</v>
      </c>
      <c r="H329" s="10"/>
      <c r="I329" s="10">
        <v>823</v>
      </c>
      <c r="J329" s="10">
        <v>364</v>
      </c>
      <c r="K329" s="21">
        <v>43479</v>
      </c>
      <c r="L329" s="24" t="s">
        <v>156</v>
      </c>
      <c r="M329" s="236">
        <f t="shared" si="5"/>
        <v>2018331</v>
      </c>
    </row>
    <row r="330" spans="1:13" x14ac:dyDescent="0.3">
      <c r="A330" s="2">
        <v>2018375</v>
      </c>
      <c r="B330" s="24" t="s">
        <v>1375</v>
      </c>
      <c r="C330" s="1" t="s">
        <v>1374</v>
      </c>
      <c r="D330" s="10" t="s">
        <v>456</v>
      </c>
      <c r="E330" s="27" t="s">
        <v>715</v>
      </c>
      <c r="F330" s="27" t="s">
        <v>715</v>
      </c>
      <c r="G330" s="10" t="s">
        <v>457</v>
      </c>
      <c r="H330" s="10"/>
      <c r="I330" s="10">
        <v>1678</v>
      </c>
      <c r="J330" s="10">
        <v>742</v>
      </c>
      <c r="K330" s="21">
        <v>43481</v>
      </c>
      <c r="L330" s="24" t="s">
        <v>568</v>
      </c>
      <c r="M330" s="236">
        <f t="shared" si="5"/>
        <v>2018375</v>
      </c>
    </row>
    <row r="331" spans="1:13" x14ac:dyDescent="0.3">
      <c r="A331" s="2">
        <v>2018470</v>
      </c>
      <c r="B331" s="24" t="s">
        <v>1815</v>
      </c>
      <c r="C331" s="1" t="s">
        <v>1223</v>
      </c>
      <c r="D331" s="10" t="s">
        <v>1224</v>
      </c>
      <c r="E331" s="10"/>
      <c r="F331" s="10"/>
      <c r="G331" s="10" t="s">
        <v>1225</v>
      </c>
      <c r="H331" s="10">
        <v>0</v>
      </c>
      <c r="I331" s="10">
        <v>823</v>
      </c>
      <c r="J331" s="10">
        <v>364</v>
      </c>
      <c r="K331" s="22"/>
      <c r="L331" s="24" t="s">
        <v>156</v>
      </c>
      <c r="M331" s="236">
        <f t="shared" si="5"/>
        <v>2018470</v>
      </c>
    </row>
    <row r="332" spans="1:13" x14ac:dyDescent="0.3">
      <c r="A332" s="2">
        <v>2018119</v>
      </c>
      <c r="B332" s="24" t="s">
        <v>1724</v>
      </c>
      <c r="C332" s="1" t="s">
        <v>57</v>
      </c>
      <c r="D332" s="10" t="s">
        <v>1086</v>
      </c>
      <c r="E332" s="27" t="s">
        <v>715</v>
      </c>
      <c r="F332" s="27" t="s">
        <v>715</v>
      </c>
      <c r="G332" s="10" t="s">
        <v>1087</v>
      </c>
      <c r="H332" s="27" t="s">
        <v>715</v>
      </c>
      <c r="I332" s="10">
        <v>800</v>
      </c>
      <c r="J332" s="10">
        <v>220</v>
      </c>
      <c r="K332" s="21"/>
      <c r="L332" s="24" t="s">
        <v>156</v>
      </c>
      <c r="M332" s="236">
        <f t="shared" si="5"/>
        <v>2018119</v>
      </c>
    </row>
    <row r="333" spans="1:13" x14ac:dyDescent="0.3">
      <c r="A333" s="2">
        <v>2018330</v>
      </c>
      <c r="B333" s="24" t="s">
        <v>28</v>
      </c>
      <c r="C333" s="1" t="s">
        <v>198</v>
      </c>
      <c r="D333" s="10" t="s">
        <v>199</v>
      </c>
      <c r="E333" s="10" t="s">
        <v>1716</v>
      </c>
      <c r="F333" s="10">
        <v>3591196012</v>
      </c>
      <c r="G333" s="10" t="s">
        <v>200</v>
      </c>
      <c r="H333" s="10"/>
      <c r="I333" s="10">
        <v>823</v>
      </c>
      <c r="J333" s="10">
        <v>364</v>
      </c>
      <c r="K333" s="21"/>
      <c r="L333" s="24" t="s">
        <v>156</v>
      </c>
      <c r="M333" s="236">
        <f t="shared" si="5"/>
        <v>2018330</v>
      </c>
    </row>
    <row r="334" spans="1:13" x14ac:dyDescent="0.3">
      <c r="A334" s="2">
        <v>2018045</v>
      </c>
      <c r="B334" s="24" t="s">
        <v>974</v>
      </c>
      <c r="C334" s="1" t="s">
        <v>973</v>
      </c>
      <c r="D334" s="10" t="s">
        <v>975</v>
      </c>
      <c r="E334" s="27" t="s">
        <v>715</v>
      </c>
      <c r="F334" s="27" t="s">
        <v>715</v>
      </c>
      <c r="G334" s="10" t="s">
        <v>976</v>
      </c>
      <c r="H334" s="10">
        <v>2</v>
      </c>
      <c r="I334" s="27" t="s">
        <v>715</v>
      </c>
      <c r="J334" s="27" t="s">
        <v>715</v>
      </c>
      <c r="K334" s="21">
        <v>43479</v>
      </c>
      <c r="L334" s="24" t="s">
        <v>280</v>
      </c>
      <c r="M334" s="236">
        <f t="shared" si="5"/>
        <v>2018045</v>
      </c>
    </row>
    <row r="335" spans="1:13" x14ac:dyDescent="0.3">
      <c r="A335" s="2">
        <v>2018378</v>
      </c>
      <c r="B335" s="24" t="s">
        <v>1902</v>
      </c>
      <c r="C335" s="1" t="s">
        <v>480</v>
      </c>
      <c r="D335" s="10" t="s">
        <v>481</v>
      </c>
      <c r="E335" s="10" t="s">
        <v>252</v>
      </c>
      <c r="F335" s="10" t="s">
        <v>252</v>
      </c>
      <c r="G335" s="10" t="s">
        <v>482</v>
      </c>
      <c r="H335" s="10">
        <v>2</v>
      </c>
      <c r="I335" s="10">
        <v>1646</v>
      </c>
      <c r="J335" s="10">
        <v>974</v>
      </c>
      <c r="K335" s="21"/>
      <c r="L335" s="24" t="s">
        <v>483</v>
      </c>
      <c r="M335" s="236">
        <f t="shared" si="5"/>
        <v>2018378</v>
      </c>
    </row>
    <row r="336" spans="1:13" x14ac:dyDescent="0.3">
      <c r="A336" s="2">
        <v>2018140</v>
      </c>
      <c r="B336" s="24" t="s">
        <v>1578</v>
      </c>
      <c r="C336" s="1" t="s">
        <v>522</v>
      </c>
      <c r="D336" s="10" t="s">
        <v>523</v>
      </c>
      <c r="E336" s="10" t="s">
        <v>1579</v>
      </c>
      <c r="F336" s="10">
        <v>6403607017</v>
      </c>
      <c r="G336" s="10" t="s">
        <v>524</v>
      </c>
      <c r="H336" s="10">
        <v>3</v>
      </c>
      <c r="I336" s="27" t="s">
        <v>715</v>
      </c>
      <c r="J336" s="27" t="s">
        <v>715</v>
      </c>
      <c r="K336" s="21">
        <v>43481</v>
      </c>
      <c r="L336" s="24" t="s">
        <v>280</v>
      </c>
      <c r="M336" s="236">
        <f t="shared" si="5"/>
        <v>2018140</v>
      </c>
    </row>
    <row r="337" spans="1:13" x14ac:dyDescent="0.3">
      <c r="A337" s="2">
        <v>2018255</v>
      </c>
      <c r="B337" s="24" t="s">
        <v>105</v>
      </c>
      <c r="C337" s="1" t="s">
        <v>1949</v>
      </c>
      <c r="D337" s="10" t="s">
        <v>689</v>
      </c>
      <c r="E337" s="27" t="s">
        <v>715</v>
      </c>
      <c r="F337" s="27" t="s">
        <v>715</v>
      </c>
      <c r="G337" s="10" t="s">
        <v>1615</v>
      </c>
      <c r="H337" s="10">
        <v>2</v>
      </c>
      <c r="I337" s="10">
        <v>1646</v>
      </c>
      <c r="J337" s="10">
        <v>1220</v>
      </c>
      <c r="K337" s="21">
        <v>43483</v>
      </c>
      <c r="L337" s="24" t="s">
        <v>157</v>
      </c>
      <c r="M337" s="236">
        <f t="shared" si="5"/>
        <v>2018255</v>
      </c>
    </row>
    <row r="338" spans="1:13" x14ac:dyDescent="0.3">
      <c r="A338" s="2">
        <v>2018433</v>
      </c>
      <c r="B338" s="24" t="s">
        <v>1155</v>
      </c>
      <c r="C338" s="1" t="s">
        <v>1056</v>
      </c>
      <c r="D338" s="10" t="s">
        <v>1296</v>
      </c>
      <c r="E338" s="27" t="s">
        <v>1297</v>
      </c>
      <c r="F338" s="27">
        <v>2657835014</v>
      </c>
      <c r="G338" s="10" t="s">
        <v>1298</v>
      </c>
      <c r="H338" s="27" t="s">
        <v>715</v>
      </c>
      <c r="I338" s="10">
        <v>839</v>
      </c>
      <c r="J338" s="10">
        <v>371</v>
      </c>
      <c r="K338" s="21">
        <v>43483</v>
      </c>
      <c r="L338" s="24" t="s">
        <v>211</v>
      </c>
      <c r="M338" s="236">
        <f t="shared" si="5"/>
        <v>2018433</v>
      </c>
    </row>
    <row r="339" spans="1:13" x14ac:dyDescent="0.3">
      <c r="A339" s="2">
        <v>2018315</v>
      </c>
      <c r="B339" s="24" t="s">
        <v>130</v>
      </c>
      <c r="C339" s="1" t="s">
        <v>121</v>
      </c>
      <c r="D339" s="10" t="s">
        <v>787</v>
      </c>
      <c r="E339" s="27" t="s">
        <v>1665</v>
      </c>
      <c r="F339" s="27">
        <v>77722012</v>
      </c>
      <c r="G339" s="10" t="s">
        <v>788</v>
      </c>
      <c r="H339" s="27" t="s">
        <v>715</v>
      </c>
      <c r="I339" s="10">
        <v>823</v>
      </c>
      <c r="J339" s="10">
        <v>610</v>
      </c>
      <c r="K339" s="21">
        <v>43483</v>
      </c>
      <c r="L339" s="24" t="s">
        <v>157</v>
      </c>
      <c r="M339" s="236">
        <f t="shared" si="5"/>
        <v>2018315</v>
      </c>
    </row>
    <row r="340" spans="1:13" x14ac:dyDescent="0.3">
      <c r="A340" s="2">
        <v>2018015</v>
      </c>
      <c r="B340" s="58" t="s">
        <v>1299</v>
      </c>
      <c r="C340" s="1" t="s">
        <v>635</v>
      </c>
      <c r="D340" s="10" t="s">
        <v>636</v>
      </c>
      <c r="E340" s="10" t="s">
        <v>1300</v>
      </c>
      <c r="F340" s="10">
        <v>3605812</v>
      </c>
      <c r="G340" s="10" t="s">
        <v>637</v>
      </c>
      <c r="H340" s="10">
        <v>2</v>
      </c>
      <c r="I340" s="27" t="s">
        <v>715</v>
      </c>
      <c r="J340" s="27" t="s">
        <v>715</v>
      </c>
      <c r="K340" s="21">
        <v>43482</v>
      </c>
      <c r="L340" s="24" t="s">
        <v>910</v>
      </c>
      <c r="M340" s="236">
        <f t="shared" si="5"/>
        <v>2018015</v>
      </c>
    </row>
    <row r="341" spans="1:13" x14ac:dyDescent="0.3">
      <c r="A341" s="2">
        <v>2020038</v>
      </c>
      <c r="B341" s="24" t="s">
        <v>317</v>
      </c>
      <c r="C341" s="1" t="s">
        <v>1548</v>
      </c>
      <c r="D341" s="10" t="s">
        <v>1549</v>
      </c>
      <c r="E341" s="10" t="s">
        <v>1550</v>
      </c>
      <c r="F341" s="10">
        <v>982456013</v>
      </c>
      <c r="G341" s="10" t="s">
        <v>1551</v>
      </c>
      <c r="H341" s="27" t="s">
        <v>715</v>
      </c>
      <c r="I341" s="10">
        <v>823</v>
      </c>
      <c r="J341" s="10">
        <v>364</v>
      </c>
      <c r="K341" s="22"/>
      <c r="L341" s="24" t="s">
        <v>156</v>
      </c>
      <c r="M341" s="236">
        <f t="shared" si="5"/>
        <v>2020038</v>
      </c>
    </row>
    <row r="342" spans="1:13" x14ac:dyDescent="0.3">
      <c r="A342" s="2">
        <v>2018074</v>
      </c>
      <c r="B342" s="58" t="s">
        <v>392</v>
      </c>
      <c r="C342" s="1" t="s">
        <v>525</v>
      </c>
      <c r="D342" s="10" t="s">
        <v>526</v>
      </c>
      <c r="E342" s="27" t="s">
        <v>715</v>
      </c>
      <c r="F342" s="27" t="s">
        <v>715</v>
      </c>
      <c r="G342" s="10" t="s">
        <v>527</v>
      </c>
      <c r="H342" s="10">
        <v>2</v>
      </c>
      <c r="I342" s="27" t="s">
        <v>715</v>
      </c>
      <c r="J342" s="27" t="s">
        <v>715</v>
      </c>
      <c r="K342" s="21">
        <v>43482</v>
      </c>
      <c r="L342" s="24" t="s">
        <v>280</v>
      </c>
      <c r="M342" s="236">
        <f t="shared" si="5"/>
        <v>2018074</v>
      </c>
    </row>
    <row r="343" spans="1:13" x14ac:dyDescent="0.3">
      <c r="A343" s="2">
        <v>2018372</v>
      </c>
      <c r="B343" s="24" t="s">
        <v>328</v>
      </c>
      <c r="C343" s="1" t="s">
        <v>443</v>
      </c>
      <c r="D343" s="10" t="s">
        <v>1469</v>
      </c>
      <c r="E343" s="10" t="s">
        <v>444</v>
      </c>
      <c r="F343" s="10">
        <v>4469011010</v>
      </c>
      <c r="G343" s="10" t="s">
        <v>445</v>
      </c>
      <c r="H343" s="27" t="s">
        <v>715</v>
      </c>
      <c r="I343" s="10">
        <v>823</v>
      </c>
      <c r="J343" s="10">
        <v>364</v>
      </c>
      <c r="K343" s="21">
        <v>43481</v>
      </c>
      <c r="L343" s="24" t="s">
        <v>156</v>
      </c>
      <c r="M343" s="236">
        <f t="shared" si="5"/>
        <v>2018372</v>
      </c>
    </row>
    <row r="344" spans="1:13" x14ac:dyDescent="0.3">
      <c r="A344" s="2">
        <v>2018237</v>
      </c>
      <c r="B344" s="58" t="s">
        <v>1425</v>
      </c>
      <c r="C344" s="1" t="s">
        <v>699</v>
      </c>
      <c r="D344" s="10" t="s">
        <v>700</v>
      </c>
      <c r="E344" s="10" t="s">
        <v>1637</v>
      </c>
      <c r="F344" s="10">
        <v>745746016</v>
      </c>
      <c r="G344" s="10" t="s">
        <v>701</v>
      </c>
      <c r="H344" s="10">
        <v>2</v>
      </c>
      <c r="I344" s="27" t="s">
        <v>715</v>
      </c>
      <c r="J344" s="27" t="s">
        <v>715</v>
      </c>
      <c r="K344" s="21">
        <v>43483</v>
      </c>
      <c r="L344" s="24" t="s">
        <v>157</v>
      </c>
      <c r="M344" s="236">
        <f t="shared" si="5"/>
        <v>2018237</v>
      </c>
    </row>
    <row r="345" spans="1:13" x14ac:dyDescent="0.3">
      <c r="A345" s="2">
        <v>2018354</v>
      </c>
      <c r="B345" s="24" t="s">
        <v>328</v>
      </c>
      <c r="C345" s="1" t="s">
        <v>341</v>
      </c>
      <c r="D345" s="10" t="s">
        <v>1344</v>
      </c>
      <c r="E345" s="10" t="s">
        <v>1345</v>
      </c>
      <c r="F345" s="10">
        <v>2722289012</v>
      </c>
      <c r="G345" s="10" t="s">
        <v>342</v>
      </c>
      <c r="H345" s="10"/>
      <c r="I345" s="10">
        <v>839</v>
      </c>
      <c r="J345" s="10">
        <v>371</v>
      </c>
      <c r="K345" s="21">
        <v>43480</v>
      </c>
      <c r="L345" s="24" t="s">
        <v>156</v>
      </c>
      <c r="M345" s="236">
        <f t="shared" si="5"/>
        <v>2018354</v>
      </c>
    </row>
    <row r="346" spans="1:13" x14ac:dyDescent="0.3">
      <c r="A346" s="2">
        <v>2018016</v>
      </c>
      <c r="B346" s="24" t="s">
        <v>1744</v>
      </c>
      <c r="C346" s="1" t="s">
        <v>476</v>
      </c>
      <c r="D346" s="10" t="s">
        <v>477</v>
      </c>
      <c r="E346" s="10" t="s">
        <v>478</v>
      </c>
      <c r="F346" s="10">
        <v>3760413</v>
      </c>
      <c r="G346" s="10" t="s">
        <v>479</v>
      </c>
      <c r="H346" s="10">
        <v>2</v>
      </c>
      <c r="I346" s="10">
        <v>1646</v>
      </c>
      <c r="J346" s="10">
        <v>974</v>
      </c>
      <c r="K346" s="21"/>
      <c r="L346" s="24" t="s">
        <v>280</v>
      </c>
      <c r="M346" s="236">
        <f t="shared" si="5"/>
        <v>2018016</v>
      </c>
    </row>
    <row r="347" spans="1:13" x14ac:dyDescent="0.3">
      <c r="A347" s="2">
        <v>2018285</v>
      </c>
      <c r="B347" s="24" t="s">
        <v>1892</v>
      </c>
      <c r="C347" s="1" t="s">
        <v>1893</v>
      </c>
      <c r="D347" s="10" t="s">
        <v>1152</v>
      </c>
      <c r="E347" s="10" t="s">
        <v>1154</v>
      </c>
      <c r="F347" s="10">
        <v>3613032</v>
      </c>
      <c r="G347" s="10" t="s">
        <v>1153</v>
      </c>
      <c r="H347" s="10">
        <v>1</v>
      </c>
      <c r="I347" s="10">
        <v>823</v>
      </c>
      <c r="J347" s="10">
        <v>177</v>
      </c>
      <c r="K347" s="21"/>
      <c r="L347" s="24" t="s">
        <v>157</v>
      </c>
      <c r="M347" s="236">
        <f t="shared" si="5"/>
        <v>2018285</v>
      </c>
    </row>
    <row r="348" spans="1:13" x14ac:dyDescent="0.3">
      <c r="A348" s="2">
        <v>2018374</v>
      </c>
      <c r="B348" s="24" t="s">
        <v>1760</v>
      </c>
      <c r="C348" s="1" t="s">
        <v>451</v>
      </c>
      <c r="D348" s="10" t="s">
        <v>452</v>
      </c>
      <c r="E348" s="10" t="s">
        <v>252</v>
      </c>
      <c r="F348" s="10" t="s">
        <v>252</v>
      </c>
      <c r="G348" s="10" t="s">
        <v>453</v>
      </c>
      <c r="H348" s="10">
        <v>2</v>
      </c>
      <c r="I348" s="10" t="s">
        <v>252</v>
      </c>
      <c r="J348" s="10" t="s">
        <v>252</v>
      </c>
      <c r="K348" s="21"/>
      <c r="L348" s="24" t="s">
        <v>1135</v>
      </c>
      <c r="M348" s="236">
        <f t="shared" si="5"/>
        <v>2018374</v>
      </c>
    </row>
    <row r="349" spans="1:13" x14ac:dyDescent="0.3">
      <c r="A349" s="2">
        <v>2018326</v>
      </c>
      <c r="B349" s="24" t="s">
        <v>130</v>
      </c>
      <c r="C349" s="1" t="s">
        <v>127</v>
      </c>
      <c r="D349" s="10" t="s">
        <v>980</v>
      </c>
      <c r="E349" s="27" t="s">
        <v>715</v>
      </c>
      <c r="F349" s="27" t="s">
        <v>715</v>
      </c>
      <c r="G349" s="10" t="s">
        <v>981</v>
      </c>
      <c r="H349" s="27" t="s">
        <v>715</v>
      </c>
      <c r="I349" s="10">
        <v>807</v>
      </c>
      <c r="J349" s="27" t="s">
        <v>715</v>
      </c>
      <c r="K349" s="21">
        <v>43480</v>
      </c>
      <c r="L349" s="24" t="s">
        <v>157</v>
      </c>
      <c r="M349" s="236">
        <f t="shared" si="5"/>
        <v>2018326</v>
      </c>
    </row>
    <row r="350" spans="1:13" x14ac:dyDescent="0.3">
      <c r="A350" s="2">
        <v>2018317</v>
      </c>
      <c r="B350" s="24" t="s">
        <v>130</v>
      </c>
      <c r="C350" s="1" t="s">
        <v>122</v>
      </c>
      <c r="D350" s="10" t="s">
        <v>861</v>
      </c>
      <c r="E350" s="27" t="s">
        <v>715</v>
      </c>
      <c r="F350" s="27" t="s">
        <v>715</v>
      </c>
      <c r="G350" s="10" t="s">
        <v>862</v>
      </c>
      <c r="H350" s="27" t="s">
        <v>715</v>
      </c>
      <c r="I350" s="27" t="s">
        <v>715</v>
      </c>
      <c r="J350" s="27" t="s">
        <v>715</v>
      </c>
      <c r="K350" s="21">
        <v>43483</v>
      </c>
      <c r="L350" s="24" t="s">
        <v>157</v>
      </c>
      <c r="M350" s="236">
        <f t="shared" si="5"/>
        <v>2018317</v>
      </c>
    </row>
    <row r="351" spans="1:13" x14ac:dyDescent="0.3">
      <c r="A351" s="2">
        <v>2020007</v>
      </c>
      <c r="B351" s="24" t="s">
        <v>1155</v>
      </c>
      <c r="C351" s="1" t="s">
        <v>1292</v>
      </c>
      <c r="D351" s="10" t="s">
        <v>1293</v>
      </c>
      <c r="E351" s="10" t="s">
        <v>285</v>
      </c>
      <c r="F351" s="10">
        <v>1022599023</v>
      </c>
      <c r="G351" s="10" t="s">
        <v>1294</v>
      </c>
      <c r="H351" s="27" t="s">
        <v>715</v>
      </c>
      <c r="I351" s="10">
        <v>839</v>
      </c>
      <c r="J351" s="10">
        <v>371</v>
      </c>
      <c r="K351" s="22"/>
      <c r="L351" s="24" t="s">
        <v>211</v>
      </c>
      <c r="M351" s="236">
        <f t="shared" si="5"/>
        <v>2020007</v>
      </c>
    </row>
    <row r="352" spans="1:13" x14ac:dyDescent="0.3">
      <c r="A352" s="2">
        <v>2018142</v>
      </c>
      <c r="B352" s="24" t="s">
        <v>492</v>
      </c>
      <c r="C352" s="1" t="s">
        <v>64</v>
      </c>
      <c r="D352" s="10" t="s">
        <v>805</v>
      </c>
      <c r="E352" s="10" t="s">
        <v>806</v>
      </c>
      <c r="F352" s="10">
        <v>813920</v>
      </c>
      <c r="G352" s="10" t="s">
        <v>807</v>
      </c>
      <c r="H352" s="27" t="s">
        <v>715</v>
      </c>
      <c r="I352" s="10">
        <v>807</v>
      </c>
      <c r="J352" s="10">
        <v>357</v>
      </c>
      <c r="K352" s="21">
        <v>43480</v>
      </c>
      <c r="L352" s="24" t="s">
        <v>156</v>
      </c>
      <c r="M352" s="236">
        <f t="shared" si="5"/>
        <v>2018142</v>
      </c>
    </row>
    <row r="353" spans="1:13" x14ac:dyDescent="0.3">
      <c r="A353" s="2">
        <v>2018017</v>
      </c>
      <c r="B353" s="24" t="s">
        <v>1796</v>
      </c>
      <c r="C353" s="1" t="s">
        <v>1795</v>
      </c>
      <c r="D353" s="10" t="s">
        <v>1797</v>
      </c>
      <c r="E353" s="10" t="s">
        <v>748</v>
      </c>
      <c r="F353" s="10" t="s">
        <v>748</v>
      </c>
      <c r="G353" s="10" t="s">
        <v>1163</v>
      </c>
      <c r="H353" s="10">
        <v>2</v>
      </c>
      <c r="I353" s="10"/>
      <c r="J353" s="10"/>
      <c r="K353" s="21"/>
      <c r="L353" s="24" t="s">
        <v>1135</v>
      </c>
      <c r="M353" s="236">
        <f t="shared" si="5"/>
        <v>2018017</v>
      </c>
    </row>
    <row r="354" spans="1:13" x14ac:dyDescent="0.3">
      <c r="A354" s="2">
        <v>2018445</v>
      </c>
      <c r="B354" s="24" t="s">
        <v>216</v>
      </c>
      <c r="C354" s="1" t="s">
        <v>1111</v>
      </c>
      <c r="D354" s="10" t="s">
        <v>1433</v>
      </c>
      <c r="E354" s="27" t="s">
        <v>1434</v>
      </c>
      <c r="F354" s="27">
        <v>4473854</v>
      </c>
      <c r="G354" s="10" t="s">
        <v>1112</v>
      </c>
      <c r="H354" s="27" t="s">
        <v>715</v>
      </c>
      <c r="I354" s="27" t="s">
        <v>715</v>
      </c>
      <c r="J354" s="27" t="s">
        <v>715</v>
      </c>
      <c r="K354" s="21">
        <v>43483</v>
      </c>
      <c r="L354" s="24" t="s">
        <v>211</v>
      </c>
      <c r="M354" s="236">
        <f t="shared" si="5"/>
        <v>2018445</v>
      </c>
    </row>
    <row r="355" spans="1:13" x14ac:dyDescent="0.3">
      <c r="A355" s="2">
        <v>2020057</v>
      </c>
      <c r="B355" s="24" t="s">
        <v>1750</v>
      </c>
      <c r="C355" s="1" t="s">
        <v>1751</v>
      </c>
      <c r="D355" s="10" t="s">
        <v>1752</v>
      </c>
      <c r="E355" s="10"/>
      <c r="F355" s="10"/>
      <c r="G355" s="10" t="s">
        <v>1753</v>
      </c>
      <c r="H355" s="10">
        <v>3</v>
      </c>
      <c r="I355" s="10">
        <v>1646</v>
      </c>
      <c r="J355" s="10">
        <v>1321</v>
      </c>
      <c r="K355" s="22"/>
      <c r="L355" s="24" t="s">
        <v>1135</v>
      </c>
      <c r="M355" s="236">
        <f t="shared" si="5"/>
        <v>2020057</v>
      </c>
    </row>
    <row r="356" spans="1:13" x14ac:dyDescent="0.3">
      <c r="A356" s="2">
        <v>2020076</v>
      </c>
      <c r="B356" s="24" t="s">
        <v>1170</v>
      </c>
      <c r="C356" s="1" t="s">
        <v>1876</v>
      </c>
      <c r="D356" s="10" t="s">
        <v>1877</v>
      </c>
      <c r="E356" s="10" t="s">
        <v>1878</v>
      </c>
      <c r="F356" s="10">
        <v>3987552</v>
      </c>
      <c r="G356" s="10" t="s">
        <v>1879</v>
      </c>
      <c r="H356" s="10">
        <v>0</v>
      </c>
      <c r="I356" s="10">
        <v>823</v>
      </c>
      <c r="J356" s="10">
        <v>364</v>
      </c>
      <c r="K356" s="22"/>
      <c r="L356" s="24" t="s">
        <v>156</v>
      </c>
      <c r="M356" s="236">
        <f t="shared" si="5"/>
        <v>2020076</v>
      </c>
    </row>
    <row r="357" spans="1:13" x14ac:dyDescent="0.3">
      <c r="A357" s="2">
        <v>2018143</v>
      </c>
      <c r="B357" s="24" t="s">
        <v>934</v>
      </c>
      <c r="C357" s="1" t="s">
        <v>663</v>
      </c>
      <c r="D357" s="10" t="s">
        <v>664</v>
      </c>
      <c r="E357" s="10" t="s">
        <v>665</v>
      </c>
      <c r="F357" s="10">
        <v>4394646013</v>
      </c>
      <c r="G357" s="10" t="s">
        <v>1659</v>
      </c>
      <c r="H357" s="10">
        <v>2</v>
      </c>
      <c r="I357" s="27" t="s">
        <v>715</v>
      </c>
      <c r="J357" s="27" t="s">
        <v>715</v>
      </c>
      <c r="K357" s="21">
        <v>43483</v>
      </c>
      <c r="L357" s="24" t="s">
        <v>280</v>
      </c>
      <c r="M357" s="236">
        <f t="shared" si="5"/>
        <v>2018143</v>
      </c>
    </row>
    <row r="358" spans="1:13" x14ac:dyDescent="0.3">
      <c r="A358" s="2">
        <v>2018472</v>
      </c>
      <c r="B358" s="24" t="s">
        <v>1929</v>
      </c>
      <c r="C358" s="1" t="s">
        <v>1229</v>
      </c>
      <c r="D358" s="10" t="s">
        <v>1927</v>
      </c>
      <c r="E358" s="10" t="s">
        <v>1928</v>
      </c>
      <c r="F358" s="10">
        <v>848720</v>
      </c>
      <c r="G358" s="10"/>
      <c r="H358" s="10">
        <v>0</v>
      </c>
      <c r="I358" s="10">
        <v>807</v>
      </c>
      <c r="J358" s="10">
        <v>610</v>
      </c>
      <c r="K358" s="21">
        <v>43845</v>
      </c>
      <c r="L358" s="24" t="s">
        <v>157</v>
      </c>
      <c r="M358" s="236">
        <f t="shared" si="5"/>
        <v>2018472</v>
      </c>
    </row>
    <row r="359" spans="1:13" x14ac:dyDescent="0.3">
      <c r="A359" s="2">
        <v>2018122</v>
      </c>
      <c r="B359" s="24" t="s">
        <v>629</v>
      </c>
      <c r="C359" s="1" t="s">
        <v>336</v>
      </c>
      <c r="D359" s="10" t="s">
        <v>337</v>
      </c>
      <c r="E359" s="10" t="s">
        <v>338</v>
      </c>
      <c r="F359" s="10">
        <v>5227313</v>
      </c>
      <c r="G359" s="10" t="s">
        <v>339</v>
      </c>
      <c r="H359" s="10">
        <v>2</v>
      </c>
      <c r="I359" s="10">
        <v>1646</v>
      </c>
      <c r="J359" s="10">
        <v>728</v>
      </c>
      <c r="K359" s="21">
        <v>43480</v>
      </c>
      <c r="L359" s="24" t="s">
        <v>156</v>
      </c>
      <c r="M359" s="236">
        <f t="shared" si="5"/>
        <v>2018122</v>
      </c>
    </row>
    <row r="360" spans="1:13" x14ac:dyDescent="0.3">
      <c r="A360" s="2">
        <v>2020071</v>
      </c>
      <c r="B360" s="24" t="s">
        <v>1850</v>
      </c>
      <c r="C360" s="1" t="s">
        <v>1847</v>
      </c>
      <c r="D360" s="10" t="s">
        <v>1848</v>
      </c>
      <c r="E360" s="10"/>
      <c r="F360" s="10"/>
      <c r="G360" s="10" t="s">
        <v>1849</v>
      </c>
      <c r="H360" s="10">
        <v>0</v>
      </c>
      <c r="I360" s="10">
        <v>823</v>
      </c>
      <c r="J360" s="10">
        <v>364</v>
      </c>
      <c r="K360" s="22"/>
      <c r="L360" s="24" t="s">
        <v>156</v>
      </c>
      <c r="M360" s="236">
        <f t="shared" si="5"/>
        <v>2020071</v>
      </c>
    </row>
    <row r="361" spans="1:13" x14ac:dyDescent="0.3">
      <c r="A361" s="2">
        <v>2018386</v>
      </c>
      <c r="B361" s="24" t="s">
        <v>1401</v>
      </c>
      <c r="C361" s="1" t="s">
        <v>585</v>
      </c>
      <c r="D361" s="10" t="s">
        <v>586</v>
      </c>
      <c r="E361" s="10" t="s">
        <v>587</v>
      </c>
      <c r="F361" s="10">
        <v>3371349</v>
      </c>
      <c r="G361" s="10" t="s">
        <v>588</v>
      </c>
      <c r="H361" s="10">
        <v>2</v>
      </c>
      <c r="I361" s="27" t="s">
        <v>715</v>
      </c>
      <c r="J361" s="27" t="s">
        <v>715</v>
      </c>
      <c r="K361" s="21">
        <v>43482</v>
      </c>
      <c r="L361" s="24" t="s">
        <v>280</v>
      </c>
      <c r="M361" s="236">
        <f t="shared" si="5"/>
        <v>2018386</v>
      </c>
    </row>
    <row r="362" spans="1:13" x14ac:dyDescent="0.3">
      <c r="A362" s="2">
        <v>2018018</v>
      </c>
      <c r="B362" s="24" t="s">
        <v>1951</v>
      </c>
      <c r="C362" s="1" t="s">
        <v>1950</v>
      </c>
      <c r="D362" s="10" t="s">
        <v>505</v>
      </c>
      <c r="E362" s="10" t="s">
        <v>1284</v>
      </c>
      <c r="F362" s="10">
        <v>3720739</v>
      </c>
      <c r="G362" s="10" t="s">
        <v>506</v>
      </c>
      <c r="H362" s="10">
        <v>3</v>
      </c>
      <c r="I362" s="27" t="s">
        <v>715</v>
      </c>
      <c r="J362" s="27" t="s">
        <v>715</v>
      </c>
      <c r="K362" s="21" t="s">
        <v>1271</v>
      </c>
      <c r="L362" s="24" t="s">
        <v>280</v>
      </c>
      <c r="M362" s="236">
        <f t="shared" si="5"/>
        <v>2018018</v>
      </c>
    </row>
    <row r="363" spans="1:13" x14ac:dyDescent="0.3">
      <c r="A363" s="2">
        <v>2018075</v>
      </c>
      <c r="B363" s="24" t="s">
        <v>380</v>
      </c>
      <c r="C363" s="1" t="s">
        <v>1816</v>
      </c>
      <c r="D363" s="10" t="s">
        <v>471</v>
      </c>
      <c r="E363" s="10"/>
      <c r="F363" s="10"/>
      <c r="G363" s="10" t="s">
        <v>472</v>
      </c>
      <c r="H363" s="10">
        <v>2</v>
      </c>
      <c r="I363" s="10"/>
      <c r="J363" s="10"/>
      <c r="K363" s="21">
        <v>43481</v>
      </c>
      <c r="L363" s="24" t="s">
        <v>156</v>
      </c>
      <c r="M363" s="236">
        <f t="shared" si="5"/>
        <v>2018075</v>
      </c>
    </row>
    <row r="364" spans="1:13" x14ac:dyDescent="0.3">
      <c r="A364" s="2">
        <v>2020015</v>
      </c>
      <c r="B364" s="24" t="s">
        <v>974</v>
      </c>
      <c r="C364" s="1" t="s">
        <v>1364</v>
      </c>
      <c r="D364" s="10" t="s">
        <v>1365</v>
      </c>
      <c r="E364" s="10" t="s">
        <v>1366</v>
      </c>
      <c r="F364" s="10">
        <v>4422702</v>
      </c>
      <c r="G364" s="10" t="s">
        <v>1367</v>
      </c>
      <c r="H364" s="27" t="s">
        <v>715</v>
      </c>
      <c r="I364" s="10" t="s">
        <v>1257</v>
      </c>
      <c r="J364" s="10" t="s">
        <v>1306</v>
      </c>
      <c r="K364" s="22"/>
      <c r="L364" s="24" t="s">
        <v>280</v>
      </c>
      <c r="M364" s="236">
        <f t="shared" si="5"/>
        <v>2020015</v>
      </c>
    </row>
    <row r="365" spans="1:13" x14ac:dyDescent="0.3">
      <c r="A365" s="2">
        <v>2018099</v>
      </c>
      <c r="B365" s="24" t="s">
        <v>1651</v>
      </c>
      <c r="C365" s="1" t="s">
        <v>682</v>
      </c>
      <c r="D365" s="10" t="s">
        <v>683</v>
      </c>
      <c r="E365" s="10" t="s">
        <v>684</v>
      </c>
      <c r="F365" s="10">
        <v>4381621011</v>
      </c>
      <c r="G365" s="10" t="s">
        <v>685</v>
      </c>
      <c r="H365" s="10">
        <v>2</v>
      </c>
      <c r="I365" s="10">
        <v>1646</v>
      </c>
      <c r="J365" s="10">
        <v>728</v>
      </c>
      <c r="K365" s="21">
        <v>43483</v>
      </c>
      <c r="L365" s="24" t="s">
        <v>568</v>
      </c>
      <c r="M365" s="236">
        <f t="shared" si="5"/>
        <v>2018099</v>
      </c>
    </row>
    <row r="366" spans="1:13" x14ac:dyDescent="0.3">
      <c r="A366" s="2">
        <v>2018419</v>
      </c>
      <c r="B366" s="24" t="s">
        <v>1193</v>
      </c>
      <c r="C366" s="1" t="s">
        <v>970</v>
      </c>
      <c r="D366" s="10" t="s">
        <v>971</v>
      </c>
      <c r="E366" s="10" t="s">
        <v>571</v>
      </c>
      <c r="F366" s="10">
        <v>4451736</v>
      </c>
      <c r="G366" s="10" t="s">
        <v>972</v>
      </c>
      <c r="H366" s="27" t="s">
        <v>715</v>
      </c>
      <c r="I366" s="10">
        <v>823</v>
      </c>
      <c r="J366" s="10">
        <v>364</v>
      </c>
      <c r="K366" s="21"/>
      <c r="L366" s="24" t="s">
        <v>156</v>
      </c>
      <c r="M366" s="236">
        <f t="shared" si="5"/>
        <v>2018419</v>
      </c>
    </row>
    <row r="367" spans="1:13" x14ac:dyDescent="0.3">
      <c r="A367" s="2">
        <v>2018385</v>
      </c>
      <c r="B367" s="24" t="s">
        <v>340</v>
      </c>
      <c r="C367" s="1" t="s">
        <v>569</v>
      </c>
      <c r="D367" s="10" t="s">
        <v>570</v>
      </c>
      <c r="E367" s="10" t="s">
        <v>571</v>
      </c>
      <c r="F367" s="10">
        <v>3588892</v>
      </c>
      <c r="G367" s="10" t="s">
        <v>572</v>
      </c>
      <c r="H367" s="27" t="s">
        <v>715</v>
      </c>
      <c r="I367" s="10">
        <v>823</v>
      </c>
      <c r="J367" s="10">
        <v>364</v>
      </c>
      <c r="K367" s="21">
        <v>43482</v>
      </c>
      <c r="L367" s="24" t="s">
        <v>156</v>
      </c>
      <c r="M367" s="236">
        <f t="shared" si="5"/>
        <v>2018385</v>
      </c>
    </row>
    <row r="368" spans="1:13" x14ac:dyDescent="0.3">
      <c r="A368" s="2">
        <v>2018357</v>
      </c>
      <c r="B368" s="24" t="s">
        <v>201</v>
      </c>
      <c r="C368" s="1" t="s">
        <v>354</v>
      </c>
      <c r="D368" s="10" t="s">
        <v>1645</v>
      </c>
      <c r="E368" s="10" t="s">
        <v>355</v>
      </c>
      <c r="F368" s="10">
        <v>4538389017</v>
      </c>
      <c r="G368" s="10" t="s">
        <v>1646</v>
      </c>
      <c r="H368" s="10"/>
      <c r="I368" s="10">
        <v>823</v>
      </c>
      <c r="J368" s="10">
        <v>364</v>
      </c>
      <c r="K368" s="21">
        <v>43480</v>
      </c>
      <c r="L368" s="24" t="s">
        <v>211</v>
      </c>
      <c r="M368" s="236">
        <f t="shared" si="5"/>
        <v>2018357</v>
      </c>
    </row>
    <row r="369" spans="1:13" x14ac:dyDescent="0.3">
      <c r="A369" s="2">
        <v>2020066</v>
      </c>
      <c r="B369" s="24" t="s">
        <v>1762</v>
      </c>
      <c r="C369" s="1" t="s">
        <v>1825</v>
      </c>
      <c r="D369" s="10" t="s">
        <v>1826</v>
      </c>
      <c r="E369" s="10" t="s">
        <v>1827</v>
      </c>
      <c r="F369" s="10">
        <v>6443231</v>
      </c>
      <c r="G369" s="59" t="s">
        <v>1828</v>
      </c>
      <c r="H369" s="10">
        <v>0</v>
      </c>
      <c r="I369" s="10">
        <v>823</v>
      </c>
      <c r="J369" s="10">
        <v>364</v>
      </c>
      <c r="K369" s="22"/>
      <c r="L369" s="24" t="s">
        <v>211</v>
      </c>
      <c r="M369" s="236">
        <f t="shared" si="5"/>
        <v>2020066</v>
      </c>
    </row>
    <row r="370" spans="1:13" x14ac:dyDescent="0.3">
      <c r="A370" s="2">
        <v>2018144</v>
      </c>
      <c r="B370" s="24" t="s">
        <v>78</v>
      </c>
      <c r="C370" s="1" t="s">
        <v>65</v>
      </c>
      <c r="D370" s="10" t="s">
        <v>218</v>
      </c>
      <c r="E370" s="10" t="s">
        <v>252</v>
      </c>
      <c r="F370" s="10" t="s">
        <v>252</v>
      </c>
      <c r="G370" s="10" t="s">
        <v>450</v>
      </c>
      <c r="H370" s="10"/>
      <c r="I370" s="10">
        <v>839</v>
      </c>
      <c r="J370" s="10">
        <v>371</v>
      </c>
      <c r="K370" s="21">
        <v>43850</v>
      </c>
      <c r="L370" s="24" t="s">
        <v>156</v>
      </c>
      <c r="M370" s="236">
        <f t="shared" si="5"/>
        <v>2018144</v>
      </c>
    </row>
    <row r="371" spans="1:13" x14ac:dyDescent="0.3">
      <c r="A371" s="2">
        <v>2020087</v>
      </c>
      <c r="B371" s="24" t="s">
        <v>1931</v>
      </c>
      <c r="C371" s="1" t="s">
        <v>1932</v>
      </c>
      <c r="D371" s="27" t="s">
        <v>715</v>
      </c>
      <c r="E371" s="27" t="s">
        <v>715</v>
      </c>
      <c r="F371" s="27" t="s">
        <v>715</v>
      </c>
      <c r="G371" s="27" t="s">
        <v>715</v>
      </c>
      <c r="H371" s="27" t="s">
        <v>715</v>
      </c>
      <c r="I371" s="27" t="s">
        <v>715</v>
      </c>
      <c r="J371" s="27" t="s">
        <v>715</v>
      </c>
      <c r="K371" s="22"/>
      <c r="L371" s="24" t="s">
        <v>156</v>
      </c>
      <c r="M371" s="236">
        <f t="shared" si="5"/>
        <v>2020087</v>
      </c>
    </row>
    <row r="372" spans="1:13" x14ac:dyDescent="0.3">
      <c r="A372" s="2">
        <v>2020088</v>
      </c>
      <c r="B372" s="24" t="s">
        <v>1166</v>
      </c>
      <c r="C372" s="1" t="s">
        <v>1935</v>
      </c>
      <c r="D372" s="27" t="s">
        <v>715</v>
      </c>
      <c r="E372" s="27" t="s">
        <v>715</v>
      </c>
      <c r="F372" s="27" t="s">
        <v>715</v>
      </c>
      <c r="G372" s="27" t="s">
        <v>715</v>
      </c>
      <c r="H372" s="27" t="s">
        <v>715</v>
      </c>
      <c r="I372" s="27" t="s">
        <v>715</v>
      </c>
      <c r="J372" s="27" t="s">
        <v>715</v>
      </c>
      <c r="K372" s="60" t="s">
        <v>715</v>
      </c>
      <c r="L372" s="24" t="s">
        <v>156</v>
      </c>
      <c r="M372" s="236">
        <f t="shared" si="5"/>
        <v>2020088</v>
      </c>
    </row>
    <row r="373" spans="1:13" x14ac:dyDescent="0.3">
      <c r="A373" s="2">
        <v>2018100</v>
      </c>
      <c r="B373" s="24" t="s">
        <v>492</v>
      </c>
      <c r="C373" s="1" t="s">
        <v>597</v>
      </c>
      <c r="D373" s="10" t="s">
        <v>598</v>
      </c>
      <c r="E373" s="10" t="s">
        <v>1509</v>
      </c>
      <c r="F373" s="10">
        <v>939342</v>
      </c>
      <c r="G373" s="10" t="s">
        <v>599</v>
      </c>
      <c r="H373" s="10">
        <v>2</v>
      </c>
      <c r="I373" s="10" t="s">
        <v>1447</v>
      </c>
      <c r="J373" s="10" t="s">
        <v>1448</v>
      </c>
      <c r="K373" s="21">
        <v>43482</v>
      </c>
      <c r="L373" s="24" t="s">
        <v>156</v>
      </c>
      <c r="M373" s="236">
        <f t="shared" si="5"/>
        <v>2018100</v>
      </c>
    </row>
    <row r="374" spans="1:13" x14ac:dyDescent="0.3">
      <c r="A374" s="2">
        <v>2018169</v>
      </c>
      <c r="B374" s="24" t="s">
        <v>458</v>
      </c>
      <c r="C374" s="1" t="s">
        <v>70</v>
      </c>
      <c r="D374" s="10" t="s">
        <v>638</v>
      </c>
      <c r="E374" s="10" t="s">
        <v>639</v>
      </c>
      <c r="F374" s="10">
        <v>1860881</v>
      </c>
      <c r="G374" s="10" t="s">
        <v>640</v>
      </c>
      <c r="H374" s="10"/>
      <c r="I374" s="10">
        <v>823</v>
      </c>
      <c r="J374" s="10">
        <v>364</v>
      </c>
      <c r="K374" s="21">
        <v>43482</v>
      </c>
      <c r="L374" s="24" t="s">
        <v>156</v>
      </c>
      <c r="M374" s="236">
        <f t="shared" si="5"/>
        <v>2018169</v>
      </c>
    </row>
    <row r="375" spans="1:13" x14ac:dyDescent="0.3">
      <c r="A375" s="2">
        <v>2018430</v>
      </c>
      <c r="B375" s="24" t="s">
        <v>364</v>
      </c>
      <c r="C375" s="1" t="s">
        <v>1043</v>
      </c>
      <c r="D375" s="10" t="s">
        <v>1044</v>
      </c>
      <c r="E375" s="27" t="s">
        <v>715</v>
      </c>
      <c r="F375" s="27" t="s">
        <v>715</v>
      </c>
      <c r="G375" s="10" t="s">
        <v>1045</v>
      </c>
      <c r="H375" s="27" t="s">
        <v>715</v>
      </c>
      <c r="I375" s="10">
        <v>500</v>
      </c>
      <c r="J375" s="10">
        <v>450</v>
      </c>
      <c r="K375" s="21">
        <v>43483</v>
      </c>
      <c r="L375" s="24" t="s">
        <v>368</v>
      </c>
      <c r="M375" s="236">
        <f t="shared" si="5"/>
        <v>2018430</v>
      </c>
    </row>
    <row r="376" spans="1:13" x14ac:dyDescent="0.3">
      <c r="A376" s="2">
        <v>2018301</v>
      </c>
      <c r="B376" s="24" t="s">
        <v>1768</v>
      </c>
      <c r="C376" s="1" t="s">
        <v>1761</v>
      </c>
      <c r="D376" s="10" t="s">
        <v>775</v>
      </c>
      <c r="E376" s="27" t="s">
        <v>715</v>
      </c>
      <c r="F376" s="27" t="s">
        <v>715</v>
      </c>
      <c r="G376" s="10" t="s">
        <v>1769</v>
      </c>
      <c r="H376" s="10"/>
      <c r="I376" s="27">
        <v>823</v>
      </c>
      <c r="J376" s="27">
        <v>610</v>
      </c>
      <c r="K376" s="21"/>
      <c r="L376" s="24" t="s">
        <v>157</v>
      </c>
      <c r="M376" s="236">
        <f t="shared" si="5"/>
        <v>2018301</v>
      </c>
    </row>
    <row r="377" spans="1:13" x14ac:dyDescent="0.3">
      <c r="A377" s="2">
        <v>2018047</v>
      </c>
      <c r="B377" s="24" t="s">
        <v>317</v>
      </c>
      <c r="C377" s="1" t="s">
        <v>24</v>
      </c>
      <c r="D377" s="10" t="s">
        <v>195</v>
      </c>
      <c r="E377" s="10" t="s">
        <v>197</v>
      </c>
      <c r="F377" s="10">
        <v>5231994</v>
      </c>
      <c r="G377" s="10" t="s">
        <v>196</v>
      </c>
      <c r="H377" s="27" t="s">
        <v>715</v>
      </c>
      <c r="I377" s="10">
        <v>823</v>
      </c>
      <c r="J377" s="10">
        <v>364</v>
      </c>
      <c r="K377" s="21">
        <v>43483</v>
      </c>
      <c r="L377" s="24" t="s">
        <v>156</v>
      </c>
      <c r="M377" s="236">
        <f t="shared" si="5"/>
        <v>2018047</v>
      </c>
    </row>
    <row r="378" spans="1:13" x14ac:dyDescent="0.3">
      <c r="A378" s="2">
        <v>2018337</v>
      </c>
      <c r="B378" s="24" t="s">
        <v>328</v>
      </c>
      <c r="C378" s="1" t="s">
        <v>233</v>
      </c>
      <c r="D378" s="10" t="s">
        <v>234</v>
      </c>
      <c r="E378" s="10" t="s">
        <v>1609</v>
      </c>
      <c r="F378" s="10">
        <v>5280228</v>
      </c>
      <c r="G378" s="10" t="s">
        <v>235</v>
      </c>
      <c r="H378" s="10"/>
      <c r="I378" s="10">
        <v>823</v>
      </c>
      <c r="J378" s="10">
        <v>364</v>
      </c>
      <c r="K378" s="21">
        <v>43479</v>
      </c>
      <c r="L378" s="24" t="s">
        <v>156</v>
      </c>
      <c r="M378" s="236">
        <f t="shared" si="5"/>
        <v>2018337</v>
      </c>
    </row>
    <row r="379" spans="1:13" x14ac:dyDescent="0.3">
      <c r="A379" s="2">
        <v>2018076</v>
      </c>
      <c r="B379" s="24" t="s">
        <v>67</v>
      </c>
      <c r="C379" s="1" t="s">
        <v>40</v>
      </c>
      <c r="D379" s="10" t="s">
        <v>736</v>
      </c>
      <c r="E379" s="10" t="s">
        <v>737</v>
      </c>
      <c r="F379" s="10">
        <v>18932014</v>
      </c>
      <c r="G379" s="10" t="s">
        <v>738</v>
      </c>
      <c r="H379" s="10"/>
      <c r="I379" s="10">
        <v>823</v>
      </c>
      <c r="J379" s="10">
        <v>364</v>
      </c>
      <c r="K379" s="21"/>
      <c r="L379" s="24" t="s">
        <v>156</v>
      </c>
      <c r="M379" s="236">
        <f t="shared" si="5"/>
        <v>2018076</v>
      </c>
    </row>
    <row r="380" spans="1:13" x14ac:dyDescent="0.3">
      <c r="A380" s="2">
        <v>2018123</v>
      </c>
      <c r="B380" s="24" t="s">
        <v>1819</v>
      </c>
      <c r="C380" s="1" t="s">
        <v>1139</v>
      </c>
      <c r="D380" s="10" t="s">
        <v>1119</v>
      </c>
      <c r="E380" s="10" t="s">
        <v>1120</v>
      </c>
      <c r="F380" s="10">
        <v>4407401</v>
      </c>
      <c r="G380" s="10" t="s">
        <v>1121</v>
      </c>
      <c r="H380" s="10">
        <v>2</v>
      </c>
      <c r="I380" s="10">
        <v>1614</v>
      </c>
      <c r="J380" s="10">
        <v>955</v>
      </c>
      <c r="K380" s="21"/>
      <c r="L380" s="24" t="s">
        <v>910</v>
      </c>
      <c r="M380" s="236">
        <f t="shared" si="5"/>
        <v>2018123</v>
      </c>
    </row>
    <row r="381" spans="1:13" x14ac:dyDescent="0.3">
      <c r="A381" s="2">
        <v>2018286</v>
      </c>
      <c r="B381" s="58" t="s">
        <v>1802</v>
      </c>
      <c r="C381" s="1" t="s">
        <v>749</v>
      </c>
      <c r="D381" s="10" t="s">
        <v>750</v>
      </c>
      <c r="E381" s="10" t="s">
        <v>748</v>
      </c>
      <c r="F381" s="10" t="s">
        <v>748</v>
      </c>
      <c r="G381" s="10" t="s">
        <v>751</v>
      </c>
      <c r="H381" s="10">
        <v>2</v>
      </c>
      <c r="I381" s="10"/>
      <c r="J381" s="10"/>
      <c r="K381" s="21"/>
      <c r="L381" s="24" t="s">
        <v>157</v>
      </c>
      <c r="M381" s="236">
        <f t="shared" si="5"/>
        <v>2018286</v>
      </c>
    </row>
    <row r="382" spans="1:13" x14ac:dyDescent="0.3">
      <c r="A382" s="2">
        <v>2018221</v>
      </c>
      <c r="B382" s="58" t="s">
        <v>1423</v>
      </c>
      <c r="C382" s="1" t="s">
        <v>906</v>
      </c>
      <c r="D382" s="10" t="s">
        <v>907</v>
      </c>
      <c r="E382" s="10" t="s">
        <v>908</v>
      </c>
      <c r="F382" s="10">
        <v>4482029014</v>
      </c>
      <c r="G382" s="10" t="s">
        <v>909</v>
      </c>
      <c r="H382" s="10">
        <v>2</v>
      </c>
      <c r="I382" s="10">
        <v>1614</v>
      </c>
      <c r="J382" s="10">
        <v>955</v>
      </c>
      <c r="K382" s="21" t="s">
        <v>761</v>
      </c>
      <c r="L382" s="24" t="s">
        <v>910</v>
      </c>
      <c r="M382" s="236">
        <f t="shared" si="5"/>
        <v>2018221</v>
      </c>
    </row>
    <row r="383" spans="1:13" x14ac:dyDescent="0.3">
      <c r="A383" s="2">
        <v>2018019</v>
      </c>
      <c r="B383" s="24" t="s">
        <v>619</v>
      </c>
      <c r="C383" s="1" t="s">
        <v>618</v>
      </c>
      <c r="D383" s="10" t="s">
        <v>620</v>
      </c>
      <c r="E383" s="10" t="s">
        <v>571</v>
      </c>
      <c r="F383" s="10">
        <v>3801938</v>
      </c>
      <c r="G383" s="10" t="s">
        <v>621</v>
      </c>
      <c r="H383" s="10">
        <v>2</v>
      </c>
      <c r="I383" s="10" t="s">
        <v>252</v>
      </c>
      <c r="J383" s="10" t="s">
        <v>252</v>
      </c>
      <c r="K383" s="21">
        <v>43482</v>
      </c>
      <c r="L383" s="24" t="s">
        <v>156</v>
      </c>
      <c r="M383" s="236">
        <f t="shared" si="5"/>
        <v>2018019</v>
      </c>
    </row>
    <row r="384" spans="1:13" x14ac:dyDescent="0.3">
      <c r="A384" s="2">
        <v>2018273</v>
      </c>
      <c r="B384" s="24" t="s">
        <v>105</v>
      </c>
      <c r="C384" s="1" t="s">
        <v>1104</v>
      </c>
      <c r="D384" s="10" t="s">
        <v>1105</v>
      </c>
      <c r="E384" s="27" t="s">
        <v>715</v>
      </c>
      <c r="F384" s="27" t="s">
        <v>715</v>
      </c>
      <c r="G384" s="10" t="s">
        <v>1106</v>
      </c>
      <c r="H384" s="10">
        <v>2</v>
      </c>
      <c r="I384" s="10">
        <v>1614</v>
      </c>
      <c r="J384" s="10">
        <v>497</v>
      </c>
      <c r="K384" s="21">
        <v>43483</v>
      </c>
      <c r="L384" s="24" t="s">
        <v>157</v>
      </c>
      <c r="M384" s="236">
        <f t="shared" si="5"/>
        <v>2018273</v>
      </c>
    </row>
    <row r="385" spans="1:13" x14ac:dyDescent="0.3">
      <c r="A385" s="2">
        <v>2018146</v>
      </c>
      <c r="B385" s="24" t="s">
        <v>934</v>
      </c>
      <c r="C385" s="1" t="s">
        <v>1616</v>
      </c>
      <c r="D385" s="10" t="s">
        <v>1617</v>
      </c>
      <c r="E385" s="10" t="s">
        <v>1393</v>
      </c>
      <c r="F385" s="10">
        <v>5250979</v>
      </c>
      <c r="G385" s="10" t="s">
        <v>1618</v>
      </c>
      <c r="H385" s="10">
        <v>2</v>
      </c>
      <c r="I385" s="27" t="s">
        <v>715</v>
      </c>
      <c r="J385" s="27" t="s">
        <v>715</v>
      </c>
      <c r="K385" s="21" t="s">
        <v>761</v>
      </c>
      <c r="L385" s="24" t="s">
        <v>280</v>
      </c>
      <c r="M385" s="236">
        <f t="shared" si="5"/>
        <v>2018146</v>
      </c>
    </row>
    <row r="386" spans="1:13" x14ac:dyDescent="0.3">
      <c r="A386" s="2">
        <v>2018394</v>
      </c>
      <c r="B386" s="24" t="s">
        <v>454</v>
      </c>
      <c r="C386" s="1" t="s">
        <v>680</v>
      </c>
      <c r="D386" s="10" t="s">
        <v>681</v>
      </c>
      <c r="E386" s="10" t="s">
        <v>554</v>
      </c>
      <c r="F386" s="10">
        <v>4795779</v>
      </c>
      <c r="G386" s="10" t="s">
        <v>1643</v>
      </c>
      <c r="H386" s="10"/>
      <c r="I386" s="10">
        <v>823</v>
      </c>
      <c r="J386" s="10">
        <v>364</v>
      </c>
      <c r="K386" s="21">
        <v>43483</v>
      </c>
      <c r="L386" s="24" t="s">
        <v>156</v>
      </c>
      <c r="M386" s="236">
        <f t="shared" si="5"/>
        <v>2018394</v>
      </c>
    </row>
    <row r="387" spans="1:13" x14ac:dyDescent="0.3">
      <c r="A387" s="2">
        <v>2018339</v>
      </c>
      <c r="B387" s="24" t="s">
        <v>1496</v>
      </c>
      <c r="C387" s="1" t="s">
        <v>1495</v>
      </c>
      <c r="D387" s="10" t="s">
        <v>248</v>
      </c>
      <c r="E387" s="10" t="s">
        <v>1497</v>
      </c>
      <c r="F387" s="10">
        <v>641142</v>
      </c>
      <c r="G387" s="10" t="s">
        <v>249</v>
      </c>
      <c r="H387" s="27" t="s">
        <v>715</v>
      </c>
      <c r="I387" s="27" t="s">
        <v>715</v>
      </c>
      <c r="J387" s="27" t="s">
        <v>715</v>
      </c>
      <c r="K387" s="21">
        <v>43479</v>
      </c>
      <c r="L387" s="24" t="s">
        <v>568</v>
      </c>
      <c r="M387" s="236">
        <f t="shared" ref="M387:M450" si="6">A387</f>
        <v>2018339</v>
      </c>
    </row>
    <row r="388" spans="1:13" x14ac:dyDescent="0.3">
      <c r="A388" s="2">
        <v>2018048</v>
      </c>
      <c r="B388" s="24" t="s">
        <v>317</v>
      </c>
      <c r="C388" s="1" t="s">
        <v>25</v>
      </c>
      <c r="D388" s="10" t="s">
        <v>1538</v>
      </c>
      <c r="E388" s="10" t="s">
        <v>914</v>
      </c>
      <c r="F388" s="10">
        <v>3009602012</v>
      </c>
      <c r="G388" s="10" t="s">
        <v>915</v>
      </c>
      <c r="H388" s="27" t="s">
        <v>715</v>
      </c>
      <c r="I388" s="10">
        <v>823</v>
      </c>
      <c r="J388" s="10">
        <v>364</v>
      </c>
      <c r="K388" s="21">
        <v>43483</v>
      </c>
      <c r="L388" s="24" t="s">
        <v>156</v>
      </c>
      <c r="M388" s="236">
        <f t="shared" si="6"/>
        <v>2018048</v>
      </c>
    </row>
    <row r="389" spans="1:13" x14ac:dyDescent="0.3">
      <c r="A389" s="2">
        <v>2018077</v>
      </c>
      <c r="B389" s="24" t="s">
        <v>67</v>
      </c>
      <c r="C389" s="1" t="s">
        <v>41</v>
      </c>
      <c r="D389" s="10" t="s">
        <v>990</v>
      </c>
      <c r="E389" s="10" t="s">
        <v>991</v>
      </c>
      <c r="F389" s="10">
        <v>5191237017</v>
      </c>
      <c r="G389" s="10" t="s">
        <v>992</v>
      </c>
      <c r="H389" s="27" t="s">
        <v>715</v>
      </c>
      <c r="I389" s="10">
        <v>823</v>
      </c>
      <c r="J389" s="10">
        <v>364</v>
      </c>
      <c r="K389" s="21"/>
      <c r="L389" s="24" t="s">
        <v>156</v>
      </c>
      <c r="M389" s="236">
        <f t="shared" si="6"/>
        <v>2018077</v>
      </c>
    </row>
    <row r="390" spans="1:13" x14ac:dyDescent="0.3">
      <c r="A390" s="2">
        <v>2018443</v>
      </c>
      <c r="B390" s="24" t="s">
        <v>340</v>
      </c>
      <c r="C390" s="1" t="s">
        <v>1088</v>
      </c>
      <c r="D390" s="10" t="s">
        <v>1559</v>
      </c>
      <c r="E390" s="27" t="s">
        <v>1089</v>
      </c>
      <c r="F390" s="27">
        <v>5211933015</v>
      </c>
      <c r="G390" s="10" t="s">
        <v>1560</v>
      </c>
      <c r="H390" s="27" t="s">
        <v>715</v>
      </c>
      <c r="I390" s="10">
        <v>823</v>
      </c>
      <c r="J390" s="10">
        <v>364</v>
      </c>
      <c r="K390" s="21">
        <v>43483</v>
      </c>
      <c r="L390" s="24" t="s">
        <v>156</v>
      </c>
      <c r="M390" s="236">
        <f t="shared" si="6"/>
        <v>2018443</v>
      </c>
    </row>
    <row r="391" spans="1:13" x14ac:dyDescent="0.3">
      <c r="A391" s="2">
        <v>2018274</v>
      </c>
      <c r="B391" s="24" t="s">
        <v>108</v>
      </c>
      <c r="C391" s="1" t="s">
        <v>1952</v>
      </c>
      <c r="D391" s="10" t="s">
        <v>667</v>
      </c>
      <c r="E391" s="10" t="s">
        <v>670</v>
      </c>
      <c r="F391" s="10">
        <v>1007681022</v>
      </c>
      <c r="G391" s="10" t="s">
        <v>668</v>
      </c>
      <c r="H391" s="10">
        <v>2</v>
      </c>
      <c r="I391" s="10">
        <v>1646</v>
      </c>
      <c r="J391" s="10">
        <v>1220</v>
      </c>
      <c r="K391" s="21"/>
      <c r="L391" s="24" t="s">
        <v>157</v>
      </c>
      <c r="M391" s="236">
        <f t="shared" si="6"/>
        <v>2018274</v>
      </c>
    </row>
    <row r="392" spans="1:13" x14ac:dyDescent="0.3">
      <c r="A392" s="2">
        <v>2018361</v>
      </c>
      <c r="B392" s="24" t="s">
        <v>364</v>
      </c>
      <c r="C392" s="1" t="s">
        <v>365</v>
      </c>
      <c r="D392" s="10" t="s">
        <v>366</v>
      </c>
      <c r="E392" s="10" t="s">
        <v>252</v>
      </c>
      <c r="F392" s="10" t="s">
        <v>252</v>
      </c>
      <c r="G392" s="10" t="s">
        <v>367</v>
      </c>
      <c r="H392" s="10"/>
      <c r="I392" s="10">
        <v>807</v>
      </c>
      <c r="J392" s="10">
        <v>357</v>
      </c>
      <c r="K392" s="21">
        <v>43480</v>
      </c>
      <c r="L392" s="24" t="s">
        <v>368</v>
      </c>
      <c r="M392" s="236">
        <f t="shared" si="6"/>
        <v>2018361</v>
      </c>
    </row>
    <row r="393" spans="1:13" x14ac:dyDescent="0.3">
      <c r="A393" s="2">
        <v>2018103</v>
      </c>
      <c r="B393" s="24" t="s">
        <v>454</v>
      </c>
      <c r="C393" s="1" t="s">
        <v>1122</v>
      </c>
      <c r="D393" s="10" t="s">
        <v>297</v>
      </c>
      <c r="E393" s="10" t="s">
        <v>1470</v>
      </c>
      <c r="F393" s="10">
        <v>997197</v>
      </c>
      <c r="G393" s="10" t="s">
        <v>298</v>
      </c>
      <c r="H393" s="27" t="s">
        <v>715</v>
      </c>
      <c r="I393" s="10">
        <v>823</v>
      </c>
      <c r="J393" s="10">
        <v>364</v>
      </c>
      <c r="K393" s="21">
        <v>43480</v>
      </c>
      <c r="L393" s="24" t="s">
        <v>156</v>
      </c>
      <c r="M393" s="236">
        <f t="shared" si="6"/>
        <v>2018103</v>
      </c>
    </row>
    <row r="394" spans="1:13" x14ac:dyDescent="0.3">
      <c r="A394" s="2">
        <v>2018370</v>
      </c>
      <c r="B394" s="58" t="s">
        <v>1817</v>
      </c>
      <c r="C394" s="1" t="s">
        <v>424</v>
      </c>
      <c r="D394" s="10" t="s">
        <v>425</v>
      </c>
      <c r="E394" s="10" t="s">
        <v>426</v>
      </c>
      <c r="F394" s="10">
        <v>38801</v>
      </c>
      <c r="G394" s="10" t="s">
        <v>427</v>
      </c>
      <c r="H394" s="10">
        <v>4</v>
      </c>
      <c r="I394" s="10"/>
      <c r="J394" s="10"/>
      <c r="K394" s="21"/>
      <c r="L394" s="24" t="s">
        <v>910</v>
      </c>
      <c r="M394" s="236">
        <f t="shared" si="6"/>
        <v>2018370</v>
      </c>
    </row>
    <row r="395" spans="1:13" x14ac:dyDescent="0.3">
      <c r="A395" s="2">
        <v>2018020</v>
      </c>
      <c r="B395" s="24" t="s">
        <v>317</v>
      </c>
      <c r="C395" s="1" t="s">
        <v>8</v>
      </c>
      <c r="D395" s="10" t="s">
        <v>793</v>
      </c>
      <c r="E395" s="27" t="s">
        <v>715</v>
      </c>
      <c r="F395" s="27" t="s">
        <v>715</v>
      </c>
      <c r="G395" s="10" t="s">
        <v>794</v>
      </c>
      <c r="H395" s="27" t="s">
        <v>715</v>
      </c>
      <c r="I395" s="10">
        <v>823</v>
      </c>
      <c r="J395" s="10">
        <v>364</v>
      </c>
      <c r="K395" s="21">
        <v>43480</v>
      </c>
      <c r="L395" s="24" t="s">
        <v>156</v>
      </c>
      <c r="M395" s="236">
        <f t="shared" si="6"/>
        <v>2018020</v>
      </c>
    </row>
    <row r="396" spans="1:13" x14ac:dyDescent="0.3">
      <c r="A396" s="2">
        <v>2018345</v>
      </c>
      <c r="B396" s="24" t="s">
        <v>125</v>
      </c>
      <c r="C396" s="1" t="s">
        <v>286</v>
      </c>
      <c r="D396" s="10" t="s">
        <v>287</v>
      </c>
      <c r="E396" s="10" t="s">
        <v>1788</v>
      </c>
      <c r="F396" s="10">
        <v>5158913</v>
      </c>
      <c r="G396" s="10" t="s">
        <v>288</v>
      </c>
      <c r="H396" s="10"/>
      <c r="I396" s="10">
        <v>823</v>
      </c>
      <c r="J396" s="10">
        <v>610</v>
      </c>
      <c r="K396" s="21"/>
      <c r="L396" s="24" t="s">
        <v>157</v>
      </c>
      <c r="M396" s="236">
        <f t="shared" si="6"/>
        <v>2018345</v>
      </c>
    </row>
    <row r="397" spans="1:13" x14ac:dyDescent="0.3">
      <c r="A397" s="2">
        <v>2018021</v>
      </c>
      <c r="B397" s="24" t="s">
        <v>1786</v>
      </c>
      <c r="C397" s="1" t="s">
        <v>1005</v>
      </c>
      <c r="D397" s="10" t="s">
        <v>1006</v>
      </c>
      <c r="E397" s="27" t="s">
        <v>715</v>
      </c>
      <c r="F397" s="27" t="s">
        <v>715</v>
      </c>
      <c r="G397" s="10" t="s">
        <v>1007</v>
      </c>
      <c r="H397" s="10">
        <v>2</v>
      </c>
      <c r="I397" s="10">
        <v>1614</v>
      </c>
      <c r="J397" s="10">
        <v>974</v>
      </c>
      <c r="K397" s="21"/>
      <c r="L397" s="24" t="s">
        <v>910</v>
      </c>
      <c r="M397" s="236">
        <f t="shared" si="6"/>
        <v>2018021</v>
      </c>
    </row>
    <row r="398" spans="1:13" x14ac:dyDescent="0.3">
      <c r="A398" s="2">
        <v>2020032</v>
      </c>
      <c r="B398" s="24" t="s">
        <v>940</v>
      </c>
      <c r="C398" s="1" t="s">
        <v>1492</v>
      </c>
      <c r="D398" s="10" t="s">
        <v>1493</v>
      </c>
      <c r="E398" s="27" t="s">
        <v>715</v>
      </c>
      <c r="F398" s="27" t="s">
        <v>715</v>
      </c>
      <c r="G398" s="10" t="s">
        <v>1494</v>
      </c>
      <c r="H398" s="27" t="s">
        <v>715</v>
      </c>
      <c r="I398" s="27" t="s">
        <v>715</v>
      </c>
      <c r="J398" s="27" t="s">
        <v>715</v>
      </c>
      <c r="K398" s="22"/>
      <c r="L398" s="24" t="s">
        <v>568</v>
      </c>
      <c r="M398" s="236">
        <f t="shared" si="6"/>
        <v>2020032</v>
      </c>
    </row>
    <row r="399" spans="1:13" x14ac:dyDescent="0.3">
      <c r="A399" s="2">
        <v>2018420</v>
      </c>
      <c r="B399" s="58" t="s">
        <v>458</v>
      </c>
      <c r="C399" s="1" t="s">
        <v>983</v>
      </c>
      <c r="D399" s="10" t="s">
        <v>984</v>
      </c>
      <c r="E399" s="10" t="s">
        <v>985</v>
      </c>
      <c r="F399" s="10">
        <v>3326721015</v>
      </c>
      <c r="G399" s="10" t="s">
        <v>1394</v>
      </c>
      <c r="H399" s="27" t="s">
        <v>715</v>
      </c>
      <c r="I399" s="10">
        <v>839</v>
      </c>
      <c r="J399" s="10">
        <v>371</v>
      </c>
      <c r="K399" s="21">
        <v>43483</v>
      </c>
      <c r="L399" s="24" t="s">
        <v>156</v>
      </c>
      <c r="M399" s="236">
        <f t="shared" si="6"/>
        <v>2018420</v>
      </c>
    </row>
    <row r="400" spans="1:13" x14ac:dyDescent="0.3">
      <c r="A400" s="2">
        <v>2020064</v>
      </c>
      <c r="B400" s="58" t="s">
        <v>1809</v>
      </c>
      <c r="C400" s="1" t="s">
        <v>1810</v>
      </c>
      <c r="D400" s="10" t="s">
        <v>1811</v>
      </c>
      <c r="E400" s="10" t="s">
        <v>748</v>
      </c>
      <c r="F400" s="10" t="s">
        <v>748</v>
      </c>
      <c r="G400" s="10" t="s">
        <v>1812</v>
      </c>
      <c r="H400" s="10">
        <v>3</v>
      </c>
      <c r="I400" s="10"/>
      <c r="J400" s="10"/>
      <c r="K400" s="22"/>
      <c r="L400" s="24" t="s">
        <v>910</v>
      </c>
      <c r="M400" s="236">
        <f t="shared" si="6"/>
        <v>2020064</v>
      </c>
    </row>
    <row r="401" spans="1:13" x14ac:dyDescent="0.3">
      <c r="A401" s="2">
        <v>2020041</v>
      </c>
      <c r="B401" s="24" t="s">
        <v>216</v>
      </c>
      <c r="C401" s="1" t="s">
        <v>1597</v>
      </c>
      <c r="D401" s="10" t="s">
        <v>1598</v>
      </c>
      <c r="E401" s="10" t="s">
        <v>1599</v>
      </c>
      <c r="F401" s="10">
        <v>933360018</v>
      </c>
      <c r="G401" s="10" t="s">
        <v>1600</v>
      </c>
      <c r="H401" s="27" t="s">
        <v>715</v>
      </c>
      <c r="I401" s="10">
        <v>823</v>
      </c>
      <c r="J401" s="10">
        <v>364</v>
      </c>
      <c r="K401" s="22"/>
      <c r="L401" s="24" t="s">
        <v>211</v>
      </c>
      <c r="M401" s="236">
        <f t="shared" si="6"/>
        <v>2020041</v>
      </c>
    </row>
    <row r="402" spans="1:13" x14ac:dyDescent="0.3">
      <c r="A402" s="2">
        <v>2018332</v>
      </c>
      <c r="B402" s="24" t="s">
        <v>328</v>
      </c>
      <c r="C402" s="1" t="s">
        <v>220</v>
      </c>
      <c r="D402" s="10" t="s">
        <v>221</v>
      </c>
      <c r="E402" s="10" t="s">
        <v>1466</v>
      </c>
      <c r="F402" s="10">
        <v>4630017</v>
      </c>
      <c r="G402" s="10" t="s">
        <v>1467</v>
      </c>
      <c r="H402" s="27" t="s">
        <v>715</v>
      </c>
      <c r="I402" s="27" t="s">
        <v>715</v>
      </c>
      <c r="J402" s="27" t="s">
        <v>715</v>
      </c>
      <c r="K402" s="21">
        <v>43479</v>
      </c>
      <c r="L402" s="24" t="s">
        <v>156</v>
      </c>
      <c r="M402" s="236">
        <f t="shared" si="6"/>
        <v>2018332</v>
      </c>
    </row>
    <row r="403" spans="1:13" x14ac:dyDescent="0.3">
      <c r="A403" s="2">
        <v>2018387</v>
      </c>
      <c r="B403" s="24" t="s">
        <v>1656</v>
      </c>
      <c r="C403" s="1" t="s">
        <v>592</v>
      </c>
      <c r="D403" s="10" t="s">
        <v>593</v>
      </c>
      <c r="E403" s="10" t="s">
        <v>1657</v>
      </c>
      <c r="F403" s="10">
        <v>4445714</v>
      </c>
      <c r="G403" s="10" t="s">
        <v>594</v>
      </c>
      <c r="H403" s="10">
        <v>2</v>
      </c>
      <c r="I403" s="10">
        <v>1646</v>
      </c>
      <c r="J403" s="10">
        <v>728</v>
      </c>
      <c r="K403" s="21">
        <v>43482</v>
      </c>
      <c r="L403" s="24" t="s">
        <v>156</v>
      </c>
      <c r="M403" s="236">
        <f t="shared" si="6"/>
        <v>2018387</v>
      </c>
    </row>
    <row r="404" spans="1:13" x14ac:dyDescent="0.3">
      <c r="A404" s="2">
        <v>2018148</v>
      </c>
      <c r="B404" s="24" t="s">
        <v>982</v>
      </c>
      <c r="C404" s="1" t="s">
        <v>66</v>
      </c>
      <c r="D404" s="10" t="s">
        <v>1322</v>
      </c>
      <c r="E404" s="10" t="s">
        <v>1323</v>
      </c>
      <c r="F404" s="10">
        <v>5282550018</v>
      </c>
      <c r="G404" s="10" t="s">
        <v>503</v>
      </c>
      <c r="H404" s="10"/>
      <c r="I404" s="10">
        <v>839</v>
      </c>
      <c r="J404" s="10">
        <v>371</v>
      </c>
      <c r="K404" s="21">
        <v>43480</v>
      </c>
      <c r="L404" s="24" t="s">
        <v>156</v>
      </c>
      <c r="M404" s="236">
        <f t="shared" si="6"/>
        <v>2018148</v>
      </c>
    </row>
    <row r="405" spans="1:13" x14ac:dyDescent="0.3">
      <c r="A405" s="2">
        <v>2018257</v>
      </c>
      <c r="B405" s="24" t="s">
        <v>1295</v>
      </c>
      <c r="C405" s="1" t="s">
        <v>977</v>
      </c>
      <c r="D405" s="10" t="s">
        <v>1521</v>
      </c>
      <c r="E405" s="27" t="s">
        <v>715</v>
      </c>
      <c r="F405" s="27" t="s">
        <v>715</v>
      </c>
      <c r="G405" s="10" t="s">
        <v>1522</v>
      </c>
      <c r="H405" s="27" t="s">
        <v>715</v>
      </c>
      <c r="I405" s="10">
        <v>823</v>
      </c>
      <c r="J405" s="10">
        <v>364</v>
      </c>
      <c r="K405" s="21">
        <v>43483</v>
      </c>
      <c r="L405" s="24" t="s">
        <v>157</v>
      </c>
      <c r="M405" s="236">
        <f t="shared" si="6"/>
        <v>2018257</v>
      </c>
    </row>
    <row r="406" spans="1:13" x14ac:dyDescent="0.3">
      <c r="A406" s="2">
        <v>2020009</v>
      </c>
      <c r="B406" s="24" t="s">
        <v>1311</v>
      </c>
      <c r="C406" s="1" t="s">
        <v>1312</v>
      </c>
      <c r="D406" s="10" t="s">
        <v>876</v>
      </c>
      <c r="E406" s="27" t="s">
        <v>715</v>
      </c>
      <c r="F406" s="27" t="s">
        <v>715</v>
      </c>
      <c r="G406" s="10">
        <v>60717970</v>
      </c>
      <c r="H406" s="27" t="s">
        <v>715</v>
      </c>
      <c r="I406" s="27" t="s">
        <v>715</v>
      </c>
      <c r="J406" s="27" t="s">
        <v>715</v>
      </c>
      <c r="K406" s="22"/>
      <c r="L406" s="24" t="s">
        <v>157</v>
      </c>
      <c r="M406" s="236">
        <f t="shared" si="6"/>
        <v>2020009</v>
      </c>
    </row>
    <row r="407" spans="1:13" x14ac:dyDescent="0.3">
      <c r="A407" s="2">
        <v>2018392</v>
      </c>
      <c r="B407" s="24" t="s">
        <v>340</v>
      </c>
      <c r="C407" s="1" t="s">
        <v>645</v>
      </c>
      <c r="D407" s="10" t="s">
        <v>646</v>
      </c>
      <c r="E407" s="10" t="s">
        <v>647</v>
      </c>
      <c r="F407" s="10">
        <v>4415962015</v>
      </c>
      <c r="G407" s="10" t="s">
        <v>1258</v>
      </c>
      <c r="H407" s="10"/>
      <c r="I407" s="10">
        <v>839</v>
      </c>
      <c r="J407" s="10">
        <v>371</v>
      </c>
      <c r="K407" s="21">
        <v>43482</v>
      </c>
      <c r="L407" s="24" t="s">
        <v>156</v>
      </c>
      <c r="M407" s="236">
        <f t="shared" si="6"/>
        <v>2018392</v>
      </c>
    </row>
    <row r="408" spans="1:13" x14ac:dyDescent="0.3">
      <c r="A408" s="2">
        <v>2018466</v>
      </c>
      <c r="B408" s="24" t="s">
        <v>368</v>
      </c>
      <c r="C408" s="57" t="s">
        <v>1208</v>
      </c>
      <c r="D408" s="35" t="s">
        <v>1209</v>
      </c>
      <c r="E408" s="35"/>
      <c r="F408" s="10"/>
      <c r="G408" s="10" t="s">
        <v>1210</v>
      </c>
      <c r="H408" s="10">
        <v>0</v>
      </c>
      <c r="I408" s="10">
        <v>500</v>
      </c>
      <c r="J408" s="10">
        <v>400</v>
      </c>
      <c r="K408" s="22" t="s">
        <v>1211</v>
      </c>
      <c r="L408" s="24" t="s">
        <v>368</v>
      </c>
      <c r="M408" s="236">
        <f t="shared" si="6"/>
        <v>2018466</v>
      </c>
    </row>
    <row r="409" spans="1:13" x14ac:dyDescent="0.3">
      <c r="A409" s="2">
        <v>2018398</v>
      </c>
      <c r="B409" s="24" t="s">
        <v>201</v>
      </c>
      <c r="C409" s="1" t="s">
        <v>741</v>
      </c>
      <c r="D409" s="10" t="s">
        <v>742</v>
      </c>
      <c r="E409" s="27" t="s">
        <v>715</v>
      </c>
      <c r="F409" s="27" t="s">
        <v>715</v>
      </c>
      <c r="G409" s="28" t="s">
        <v>743</v>
      </c>
      <c r="H409" s="27" t="s">
        <v>715</v>
      </c>
      <c r="I409" s="27" t="s">
        <v>715</v>
      </c>
      <c r="J409" s="27" t="s">
        <v>715</v>
      </c>
      <c r="K409" s="21">
        <v>43483</v>
      </c>
      <c r="L409" s="24" t="s">
        <v>211</v>
      </c>
      <c r="M409" s="236">
        <f t="shared" si="6"/>
        <v>2018398</v>
      </c>
    </row>
    <row r="410" spans="1:13" x14ac:dyDescent="0.3">
      <c r="A410" s="2">
        <v>2018449</v>
      </c>
      <c r="B410" s="24" t="s">
        <v>1698</v>
      </c>
      <c r="C410" s="1" t="s">
        <v>1696</v>
      </c>
      <c r="D410" s="10" t="s">
        <v>1697</v>
      </c>
      <c r="E410" s="10" t="s">
        <v>1131</v>
      </c>
      <c r="F410" s="10">
        <v>4418762</v>
      </c>
      <c r="G410" s="10" t="s">
        <v>1132</v>
      </c>
      <c r="H410" s="10">
        <v>2</v>
      </c>
      <c r="I410" s="27" t="s">
        <v>715</v>
      </c>
      <c r="J410" s="27" t="s">
        <v>715</v>
      </c>
      <c r="K410" s="22" t="s">
        <v>1134</v>
      </c>
      <c r="L410" s="24" t="s">
        <v>1135</v>
      </c>
      <c r="M410" s="236">
        <f t="shared" si="6"/>
        <v>2018449</v>
      </c>
    </row>
    <row r="411" spans="1:13" x14ac:dyDescent="0.3">
      <c r="A411" s="2">
        <v>2018346</v>
      </c>
      <c r="B411" s="24" t="s">
        <v>201</v>
      </c>
      <c r="C411" s="1" t="s">
        <v>1692</v>
      </c>
      <c r="D411" s="10" t="s">
        <v>1693</v>
      </c>
      <c r="E411" s="10" t="s">
        <v>292</v>
      </c>
      <c r="F411" s="10">
        <v>987356</v>
      </c>
      <c r="G411" s="10" t="s">
        <v>293</v>
      </c>
      <c r="H411" s="27" t="s">
        <v>715</v>
      </c>
      <c r="I411" s="10">
        <v>823</v>
      </c>
      <c r="J411" s="10">
        <v>364</v>
      </c>
      <c r="K411" s="21">
        <v>43480</v>
      </c>
      <c r="L411" s="24" t="s">
        <v>211</v>
      </c>
      <c r="M411" s="236">
        <f t="shared" si="6"/>
        <v>2018346</v>
      </c>
    </row>
    <row r="412" spans="1:13" x14ac:dyDescent="0.3">
      <c r="A412" s="2">
        <v>2018022</v>
      </c>
      <c r="B412" s="24" t="s">
        <v>53</v>
      </c>
      <c r="C412" s="1" t="s">
        <v>9</v>
      </c>
      <c r="D412" s="10" t="s">
        <v>1278</v>
      </c>
      <c r="E412" s="27" t="s">
        <v>715</v>
      </c>
      <c r="F412" s="27" t="s">
        <v>715</v>
      </c>
      <c r="G412" s="10" t="s">
        <v>625</v>
      </c>
      <c r="H412" s="10"/>
      <c r="I412" s="27">
        <v>839</v>
      </c>
      <c r="J412" s="27">
        <v>371</v>
      </c>
      <c r="K412" s="21">
        <v>43482</v>
      </c>
      <c r="L412" s="24" t="s">
        <v>156</v>
      </c>
      <c r="M412" s="236">
        <f t="shared" si="6"/>
        <v>2018022</v>
      </c>
    </row>
    <row r="413" spans="1:13" x14ac:dyDescent="0.3">
      <c r="A413" s="2">
        <v>2018353</v>
      </c>
      <c r="B413" s="24" t="s">
        <v>328</v>
      </c>
      <c r="C413" s="1" t="s">
        <v>329</v>
      </c>
      <c r="D413" s="10" t="s">
        <v>330</v>
      </c>
      <c r="E413" s="10" t="s">
        <v>332</v>
      </c>
      <c r="F413" s="10">
        <v>3754700013</v>
      </c>
      <c r="G413" s="10" t="s">
        <v>331</v>
      </c>
      <c r="H413" s="10"/>
      <c r="I413" s="10">
        <v>807</v>
      </c>
      <c r="J413" s="10">
        <v>357</v>
      </c>
      <c r="K413" s="21">
        <v>43480</v>
      </c>
      <c r="L413" s="24" t="s">
        <v>156</v>
      </c>
      <c r="M413" s="236">
        <f t="shared" si="6"/>
        <v>2018353</v>
      </c>
    </row>
    <row r="414" spans="1:13" x14ac:dyDescent="0.3">
      <c r="A414" s="2">
        <v>2018222</v>
      </c>
      <c r="B414" s="58" t="s">
        <v>1722</v>
      </c>
      <c r="C414" s="1" t="s">
        <v>463</v>
      </c>
      <c r="D414" s="10" t="s">
        <v>464</v>
      </c>
      <c r="E414" s="10" t="s">
        <v>1723</v>
      </c>
      <c r="F414" s="10">
        <v>3577576011</v>
      </c>
      <c r="G414" s="10" t="s">
        <v>465</v>
      </c>
      <c r="H414" s="10">
        <v>2</v>
      </c>
      <c r="I414" s="10">
        <v>1646</v>
      </c>
      <c r="J414" s="10">
        <v>412</v>
      </c>
      <c r="K414" s="21"/>
      <c r="L414" s="24" t="s">
        <v>910</v>
      </c>
      <c r="M414" s="236">
        <f t="shared" si="6"/>
        <v>2018222</v>
      </c>
    </row>
    <row r="415" spans="1:13" x14ac:dyDescent="0.3">
      <c r="A415" s="2">
        <v>2018023</v>
      </c>
      <c r="B415" s="24" t="s">
        <v>53</v>
      </c>
      <c r="C415" s="1" t="s">
        <v>10</v>
      </c>
      <c r="D415" s="10" t="s">
        <v>230</v>
      </c>
      <c r="E415" s="10" t="s">
        <v>231</v>
      </c>
      <c r="F415" s="10">
        <v>2970219</v>
      </c>
      <c r="G415" s="10" t="s">
        <v>232</v>
      </c>
      <c r="H415" s="10"/>
      <c r="I415" s="10">
        <v>823</v>
      </c>
      <c r="J415" s="10">
        <v>364</v>
      </c>
      <c r="K415" s="21"/>
      <c r="L415" s="24" t="s">
        <v>156</v>
      </c>
      <c r="M415" s="236">
        <f t="shared" si="6"/>
        <v>2018023</v>
      </c>
    </row>
    <row r="416" spans="1:13" x14ac:dyDescent="0.3">
      <c r="A416" s="2">
        <v>2018024</v>
      </c>
      <c r="B416" s="24" t="s">
        <v>641</v>
      </c>
      <c r="C416" s="1" t="s">
        <v>642</v>
      </c>
      <c r="D416" s="10" t="s">
        <v>643</v>
      </c>
      <c r="E416" s="10" t="s">
        <v>252</v>
      </c>
      <c r="F416" s="10" t="s">
        <v>252</v>
      </c>
      <c r="G416" s="10" t="s">
        <v>644</v>
      </c>
      <c r="H416" s="10"/>
      <c r="I416" s="10" t="s">
        <v>252</v>
      </c>
      <c r="J416" s="10" t="s">
        <v>252</v>
      </c>
      <c r="K416" s="21">
        <v>43482</v>
      </c>
      <c r="L416" s="24" t="s">
        <v>568</v>
      </c>
      <c r="M416" s="236">
        <f t="shared" si="6"/>
        <v>2018024</v>
      </c>
    </row>
    <row r="417" spans="1:13" x14ac:dyDescent="0.3">
      <c r="A417" s="2">
        <v>2018465</v>
      </c>
      <c r="B417" s="24" t="s">
        <v>368</v>
      </c>
      <c r="C417" s="1" t="s">
        <v>1289</v>
      </c>
      <c r="D417" s="10" t="s">
        <v>1205</v>
      </c>
      <c r="E417" s="10" t="s">
        <v>1290</v>
      </c>
      <c r="F417" s="10">
        <v>3784827</v>
      </c>
      <c r="G417" s="10" t="s">
        <v>1206</v>
      </c>
      <c r="H417" s="27" t="s">
        <v>715</v>
      </c>
      <c r="I417" s="27" t="s">
        <v>715</v>
      </c>
      <c r="J417" s="27" t="s">
        <v>715</v>
      </c>
      <c r="K417" s="22" t="s">
        <v>1207</v>
      </c>
      <c r="L417" s="24" t="s">
        <v>368</v>
      </c>
      <c r="M417" s="236">
        <f t="shared" si="6"/>
        <v>2018465</v>
      </c>
    </row>
    <row r="418" spans="1:13" x14ac:dyDescent="0.3">
      <c r="A418" s="2">
        <v>2018025</v>
      </c>
      <c r="B418" s="24" t="s">
        <v>1763</v>
      </c>
      <c r="C418" s="1" t="s">
        <v>924</v>
      </c>
      <c r="D418" s="10" t="s">
        <v>922</v>
      </c>
      <c r="E418" s="27" t="s">
        <v>715</v>
      </c>
      <c r="F418" s="27" t="s">
        <v>715</v>
      </c>
      <c r="G418" s="10" t="s">
        <v>923</v>
      </c>
      <c r="H418" s="10">
        <v>2</v>
      </c>
      <c r="I418" s="10"/>
      <c r="J418" s="10"/>
      <c r="K418" s="21"/>
      <c r="L418" s="24" t="s">
        <v>1135</v>
      </c>
      <c r="M418" s="236">
        <f t="shared" si="6"/>
        <v>2018025</v>
      </c>
    </row>
    <row r="419" spans="1:13" x14ac:dyDescent="0.3">
      <c r="A419" s="2">
        <v>2018382</v>
      </c>
      <c r="B419" s="24" t="s">
        <v>201</v>
      </c>
      <c r="C419" s="1" t="s">
        <v>517</v>
      </c>
      <c r="D419" s="10" t="s">
        <v>518</v>
      </c>
      <c r="E419" s="10" t="s">
        <v>519</v>
      </c>
      <c r="F419" s="10">
        <v>6290412</v>
      </c>
      <c r="G419" s="10" t="s">
        <v>520</v>
      </c>
      <c r="H419" s="10"/>
      <c r="I419" s="10">
        <v>807</v>
      </c>
      <c r="J419" s="10">
        <v>357</v>
      </c>
      <c r="K419" s="21">
        <v>43481</v>
      </c>
      <c r="L419" s="24" t="s">
        <v>211</v>
      </c>
      <c r="M419" s="236">
        <f t="shared" si="6"/>
        <v>2018382</v>
      </c>
    </row>
    <row r="420" spans="1:13" x14ac:dyDescent="0.3">
      <c r="A420" s="2">
        <v>2018239</v>
      </c>
      <c r="B420" s="24" t="s">
        <v>1295</v>
      </c>
      <c r="C420" s="1" t="s">
        <v>90</v>
      </c>
      <c r="D420" s="10" t="s">
        <v>1523</v>
      </c>
      <c r="E420" s="10" t="s">
        <v>1524</v>
      </c>
      <c r="F420" s="10">
        <v>4419333</v>
      </c>
      <c r="G420" s="10" t="s">
        <v>1525</v>
      </c>
      <c r="H420" s="27" t="s">
        <v>715</v>
      </c>
      <c r="I420" s="27" t="s">
        <v>715</v>
      </c>
      <c r="J420" s="27" t="s">
        <v>715</v>
      </c>
      <c r="K420" s="21">
        <v>43480</v>
      </c>
      <c r="L420" s="24" t="s">
        <v>157</v>
      </c>
      <c r="M420" s="236">
        <f t="shared" si="6"/>
        <v>2018239</v>
      </c>
    </row>
    <row r="421" spans="1:13" x14ac:dyDescent="0.3">
      <c r="A421" s="2">
        <v>2020074</v>
      </c>
      <c r="B421" s="24" t="s">
        <v>1867</v>
      </c>
      <c r="C421" s="1" t="s">
        <v>1868</v>
      </c>
      <c r="D421" s="10" t="s">
        <v>1869</v>
      </c>
      <c r="E421" s="10"/>
      <c r="F421" s="10"/>
      <c r="G421" s="10" t="s">
        <v>1870</v>
      </c>
      <c r="H421" s="10">
        <v>1</v>
      </c>
      <c r="I421" s="10">
        <v>823</v>
      </c>
      <c r="J421" s="10">
        <v>610</v>
      </c>
      <c r="K421" s="22"/>
      <c r="L421" s="24" t="s">
        <v>157</v>
      </c>
      <c r="M421" s="236">
        <f t="shared" si="6"/>
        <v>2020074</v>
      </c>
    </row>
    <row r="422" spans="1:13" x14ac:dyDescent="0.3">
      <c r="A422" s="2">
        <v>2018049</v>
      </c>
      <c r="B422" s="24" t="s">
        <v>940</v>
      </c>
      <c r="C422" s="1" t="s">
        <v>941</v>
      </c>
      <c r="D422" s="10" t="s">
        <v>942</v>
      </c>
      <c r="E422" s="27" t="s">
        <v>715</v>
      </c>
      <c r="F422" s="27" t="s">
        <v>715</v>
      </c>
      <c r="G422" s="10" t="s">
        <v>943</v>
      </c>
      <c r="H422" s="10">
        <v>2</v>
      </c>
      <c r="I422" s="10" t="s">
        <v>279</v>
      </c>
      <c r="J422" s="10" t="s">
        <v>417</v>
      </c>
      <c r="K422" s="21">
        <v>43482</v>
      </c>
      <c r="L422" s="24" t="s">
        <v>156</v>
      </c>
      <c r="M422" s="236">
        <f t="shared" si="6"/>
        <v>2018049</v>
      </c>
    </row>
    <row r="423" spans="1:13" x14ac:dyDescent="0.3">
      <c r="A423" s="2">
        <v>2018450</v>
      </c>
      <c r="B423" s="24" t="s">
        <v>1787</v>
      </c>
      <c r="C423" s="1" t="s">
        <v>1136</v>
      </c>
      <c r="D423" s="10" t="s">
        <v>1137</v>
      </c>
      <c r="E423" s="10" t="s">
        <v>912</v>
      </c>
      <c r="F423" s="10">
        <v>3519387</v>
      </c>
      <c r="G423" s="10" t="s">
        <v>1138</v>
      </c>
      <c r="H423" s="10">
        <v>2</v>
      </c>
      <c r="I423" s="10">
        <v>1646</v>
      </c>
      <c r="J423" s="10">
        <v>728</v>
      </c>
      <c r="K423" s="21"/>
      <c r="L423" s="24" t="s">
        <v>1135</v>
      </c>
      <c r="M423" s="236">
        <f t="shared" si="6"/>
        <v>2018450</v>
      </c>
    </row>
    <row r="424" spans="1:13" x14ac:dyDescent="0.3">
      <c r="A424" s="2">
        <v>2018373</v>
      </c>
      <c r="B424" s="24" t="s">
        <v>201</v>
      </c>
      <c r="C424" s="1" t="s">
        <v>446</v>
      </c>
      <c r="D424" s="10" t="s">
        <v>447</v>
      </c>
      <c r="E424" s="10" t="s">
        <v>448</v>
      </c>
      <c r="F424" s="10">
        <v>5253165011</v>
      </c>
      <c r="G424" s="10" t="s">
        <v>449</v>
      </c>
      <c r="H424" s="10"/>
      <c r="I424" s="10">
        <v>839</v>
      </c>
      <c r="J424" s="10">
        <v>371</v>
      </c>
      <c r="K424" s="21">
        <v>43481</v>
      </c>
      <c r="L424" s="24" t="s">
        <v>211</v>
      </c>
      <c r="M424" s="236">
        <f t="shared" si="6"/>
        <v>2018373</v>
      </c>
    </row>
    <row r="425" spans="1:13" x14ac:dyDescent="0.3">
      <c r="A425" s="2">
        <v>2018078</v>
      </c>
      <c r="B425" s="24" t="s">
        <v>454</v>
      </c>
      <c r="C425" s="1" t="s">
        <v>42</v>
      </c>
      <c r="D425" s="10" t="s">
        <v>850</v>
      </c>
      <c r="E425" s="27" t="s">
        <v>1667</v>
      </c>
      <c r="F425" s="27">
        <v>825762</v>
      </c>
      <c r="G425" s="10" t="s">
        <v>851</v>
      </c>
      <c r="H425" s="27" t="s">
        <v>715</v>
      </c>
      <c r="I425" s="10">
        <v>823</v>
      </c>
      <c r="J425" s="10">
        <v>364</v>
      </c>
      <c r="K425" s="21">
        <v>43483</v>
      </c>
      <c r="L425" s="24" t="s">
        <v>156</v>
      </c>
      <c r="M425" s="236">
        <f t="shared" si="6"/>
        <v>2018078</v>
      </c>
    </row>
    <row r="426" spans="1:13" x14ac:dyDescent="0.3">
      <c r="A426" s="2">
        <v>2018026</v>
      </c>
      <c r="B426" s="24" t="s">
        <v>28</v>
      </c>
      <c r="C426" s="1" t="s">
        <v>11</v>
      </c>
      <c r="D426" s="10"/>
      <c r="E426" s="10"/>
      <c r="F426" s="10"/>
      <c r="G426" s="10"/>
      <c r="H426" s="10"/>
      <c r="I426" s="10"/>
      <c r="J426" s="10"/>
      <c r="K426" s="21"/>
      <c r="L426" s="24" t="s">
        <v>156</v>
      </c>
      <c r="M426" s="236">
        <f t="shared" si="6"/>
        <v>2018026</v>
      </c>
    </row>
    <row r="427" spans="1:13" x14ac:dyDescent="0.3">
      <c r="A427" s="2">
        <v>2018303</v>
      </c>
      <c r="B427" s="24" t="s">
        <v>1808</v>
      </c>
      <c r="C427" s="1" t="s">
        <v>768</v>
      </c>
      <c r="D427" s="10" t="s">
        <v>769</v>
      </c>
      <c r="E427" s="27" t="s">
        <v>715</v>
      </c>
      <c r="F427" s="27" t="s">
        <v>715</v>
      </c>
      <c r="G427" s="10" t="s">
        <v>770</v>
      </c>
      <c r="H427" s="10">
        <v>3</v>
      </c>
      <c r="I427" s="27" t="s">
        <v>715</v>
      </c>
      <c r="J427" s="27" t="s">
        <v>715</v>
      </c>
      <c r="K427" s="21"/>
      <c r="L427" s="24" t="s">
        <v>707</v>
      </c>
      <c r="M427" s="236">
        <f t="shared" si="6"/>
        <v>2018303</v>
      </c>
    </row>
    <row r="428" spans="1:13" x14ac:dyDescent="0.3">
      <c r="A428" s="2">
        <v>2020021</v>
      </c>
      <c r="B428" s="24" t="s">
        <v>317</v>
      </c>
      <c r="C428" s="1" t="s">
        <v>1403</v>
      </c>
      <c r="D428" s="10" t="s">
        <v>1404</v>
      </c>
      <c r="E428" s="10" t="s">
        <v>1405</v>
      </c>
      <c r="F428" s="10">
        <v>5085261</v>
      </c>
      <c r="G428" s="10" t="s">
        <v>1406</v>
      </c>
      <c r="H428" s="27" t="s">
        <v>715</v>
      </c>
      <c r="I428" s="10">
        <v>839</v>
      </c>
      <c r="J428" s="10">
        <v>371</v>
      </c>
      <c r="K428" s="22"/>
      <c r="L428" s="24" t="s">
        <v>156</v>
      </c>
      <c r="M428" s="236">
        <f t="shared" si="6"/>
        <v>2020021</v>
      </c>
    </row>
    <row r="429" spans="1:13" x14ac:dyDescent="0.3">
      <c r="A429" s="2">
        <v>2018467</v>
      </c>
      <c r="B429" s="24" t="s">
        <v>108</v>
      </c>
      <c r="C429" s="1" t="s">
        <v>1212</v>
      </c>
      <c r="D429" s="10" t="s">
        <v>1668</v>
      </c>
      <c r="E429" s="10" t="s">
        <v>1669</v>
      </c>
      <c r="F429" s="10">
        <v>982359017</v>
      </c>
      <c r="G429" s="10" t="s">
        <v>1670</v>
      </c>
      <c r="H429" s="27" t="s">
        <v>715</v>
      </c>
      <c r="I429" s="10">
        <v>823</v>
      </c>
      <c r="J429" s="10">
        <v>610</v>
      </c>
      <c r="K429" s="22" t="s">
        <v>1213</v>
      </c>
      <c r="L429" s="24" t="s">
        <v>157</v>
      </c>
      <c r="M429" s="236">
        <f t="shared" si="6"/>
        <v>2018467</v>
      </c>
    </row>
    <row r="430" spans="1:13" x14ac:dyDescent="0.3">
      <c r="A430" s="2">
        <v>2020053</v>
      </c>
      <c r="B430" s="24" t="s">
        <v>1729</v>
      </c>
      <c r="C430" s="1" t="s">
        <v>1730</v>
      </c>
      <c r="D430" s="10" t="s">
        <v>1731</v>
      </c>
      <c r="E430" s="10" t="s">
        <v>1732</v>
      </c>
      <c r="F430" s="10">
        <v>3770934</v>
      </c>
      <c r="G430" s="10" t="s">
        <v>1733</v>
      </c>
      <c r="H430" s="10"/>
      <c r="I430" s="10">
        <v>823</v>
      </c>
      <c r="J430" s="10">
        <v>364</v>
      </c>
      <c r="K430" s="22"/>
      <c r="L430" s="24" t="s">
        <v>156</v>
      </c>
      <c r="M430" s="236">
        <f t="shared" si="6"/>
        <v>2020053</v>
      </c>
    </row>
    <row r="431" spans="1:13" x14ac:dyDescent="0.3">
      <c r="A431" s="2">
        <v>2018347</v>
      </c>
      <c r="B431" s="24" t="s">
        <v>340</v>
      </c>
      <c r="C431" s="1" t="s">
        <v>294</v>
      </c>
      <c r="D431" s="10" t="s">
        <v>295</v>
      </c>
      <c r="E431" s="10" t="s">
        <v>296</v>
      </c>
      <c r="F431" s="10">
        <v>1248924</v>
      </c>
      <c r="G431" s="10" t="s">
        <v>1580</v>
      </c>
      <c r="H431" s="27" t="s">
        <v>715</v>
      </c>
      <c r="I431" s="10">
        <v>823</v>
      </c>
      <c r="J431" s="10">
        <v>364</v>
      </c>
      <c r="K431" s="21">
        <v>43480</v>
      </c>
      <c r="L431" s="24" t="s">
        <v>1581</v>
      </c>
      <c r="M431" s="236">
        <f t="shared" si="6"/>
        <v>2018347</v>
      </c>
    </row>
    <row r="432" spans="1:13" x14ac:dyDescent="0.3">
      <c r="A432" s="2">
        <v>2018170</v>
      </c>
      <c r="B432" s="24" t="s">
        <v>567</v>
      </c>
      <c r="C432" s="1" t="s">
        <v>564</v>
      </c>
      <c r="D432" s="10" t="s">
        <v>565</v>
      </c>
      <c r="E432" s="10" t="s">
        <v>252</v>
      </c>
      <c r="F432" s="10" t="s">
        <v>252</v>
      </c>
      <c r="G432" s="10" t="s">
        <v>566</v>
      </c>
      <c r="H432" s="10">
        <v>2</v>
      </c>
      <c r="I432" s="10" t="s">
        <v>279</v>
      </c>
      <c r="J432" s="10" t="s">
        <v>417</v>
      </c>
      <c r="K432" s="21">
        <v>43482</v>
      </c>
      <c r="L432" s="24" t="s">
        <v>568</v>
      </c>
      <c r="M432" s="236">
        <f t="shared" si="6"/>
        <v>2018170</v>
      </c>
    </row>
    <row r="433" spans="1:13" x14ac:dyDescent="0.3">
      <c r="A433" s="2">
        <v>2020012</v>
      </c>
      <c r="B433" s="24" t="s">
        <v>201</v>
      </c>
      <c r="C433" s="1" t="s">
        <v>1349</v>
      </c>
      <c r="D433" s="10" t="s">
        <v>1350</v>
      </c>
      <c r="E433" s="10" t="s">
        <v>1351</v>
      </c>
      <c r="F433" s="10">
        <v>5155063</v>
      </c>
      <c r="G433" s="10" t="s">
        <v>1352</v>
      </c>
      <c r="H433" s="27" t="s">
        <v>715</v>
      </c>
      <c r="I433" s="10">
        <v>839</v>
      </c>
      <c r="J433" s="10">
        <v>371</v>
      </c>
      <c r="K433" s="22"/>
      <c r="L433" s="24" t="s">
        <v>211</v>
      </c>
      <c r="M433" s="236">
        <f t="shared" si="6"/>
        <v>2020012</v>
      </c>
    </row>
    <row r="434" spans="1:13" x14ac:dyDescent="0.3">
      <c r="A434" s="2">
        <v>2018457</v>
      </c>
      <c r="B434" s="24" t="s">
        <v>1166</v>
      </c>
      <c r="C434" s="1" t="s">
        <v>1167</v>
      </c>
      <c r="D434" s="10" t="s">
        <v>1168</v>
      </c>
      <c r="E434" s="10"/>
      <c r="F434" s="10"/>
      <c r="G434" s="10" t="s">
        <v>1169</v>
      </c>
      <c r="H434" s="10"/>
      <c r="I434" s="10">
        <v>807</v>
      </c>
      <c r="J434" s="10">
        <v>357</v>
      </c>
      <c r="K434" s="21">
        <v>43479</v>
      </c>
      <c r="L434" s="24" t="s">
        <v>156</v>
      </c>
      <c r="M434" s="236">
        <f t="shared" si="6"/>
        <v>2018457</v>
      </c>
    </row>
    <row r="435" spans="1:13" x14ac:dyDescent="0.3">
      <c r="A435" s="2">
        <v>2018418</v>
      </c>
      <c r="B435" s="24" t="s">
        <v>982</v>
      </c>
      <c r="C435" s="1" t="s">
        <v>961</v>
      </c>
      <c r="D435" s="10" t="s">
        <v>962</v>
      </c>
      <c r="E435" s="27" t="s">
        <v>1361</v>
      </c>
      <c r="F435" s="27">
        <v>3156641</v>
      </c>
      <c r="G435" s="10" t="s">
        <v>1362</v>
      </c>
      <c r="H435" s="27" t="s">
        <v>715</v>
      </c>
      <c r="I435" s="10">
        <v>839</v>
      </c>
      <c r="J435" s="10">
        <v>371</v>
      </c>
      <c r="K435" s="21">
        <v>43483</v>
      </c>
      <c r="L435" s="24" t="s">
        <v>156</v>
      </c>
      <c r="M435" s="236">
        <f t="shared" si="6"/>
        <v>2018418</v>
      </c>
    </row>
    <row r="436" spans="1:13" x14ac:dyDescent="0.3">
      <c r="A436" s="2">
        <v>2018275</v>
      </c>
      <c r="B436" s="24" t="s">
        <v>105</v>
      </c>
      <c r="C436" s="1" t="s">
        <v>104</v>
      </c>
      <c r="D436" s="10" t="s">
        <v>978</v>
      </c>
      <c r="E436" s="27" t="s">
        <v>715</v>
      </c>
      <c r="F436" s="27" t="s">
        <v>715</v>
      </c>
      <c r="G436" s="10" t="s">
        <v>979</v>
      </c>
      <c r="H436" s="27" t="s">
        <v>715</v>
      </c>
      <c r="I436" s="10">
        <v>807</v>
      </c>
      <c r="J436" s="10">
        <v>598</v>
      </c>
      <c r="K436" s="21">
        <v>43483</v>
      </c>
      <c r="L436" s="24" t="s">
        <v>157</v>
      </c>
      <c r="M436" s="236">
        <f t="shared" si="6"/>
        <v>2018275</v>
      </c>
    </row>
    <row r="437" spans="1:13" x14ac:dyDescent="0.3">
      <c r="A437" s="2">
        <v>2018050</v>
      </c>
      <c r="B437" s="24" t="s">
        <v>58</v>
      </c>
      <c r="C437" s="1" t="s">
        <v>26</v>
      </c>
      <c r="D437" s="10" t="s">
        <v>610</v>
      </c>
      <c r="E437" s="10" t="s">
        <v>252</v>
      </c>
      <c r="F437" s="10" t="s">
        <v>252</v>
      </c>
      <c r="G437" s="10" t="s">
        <v>611</v>
      </c>
      <c r="H437" s="10"/>
      <c r="I437" s="10">
        <v>823</v>
      </c>
      <c r="J437" s="10">
        <v>166.4</v>
      </c>
      <c r="K437" s="21"/>
      <c r="L437" s="24" t="s">
        <v>156</v>
      </c>
      <c r="M437" s="236">
        <f t="shared" si="6"/>
        <v>2018050</v>
      </c>
    </row>
    <row r="438" spans="1:13" x14ac:dyDescent="0.3">
      <c r="A438" s="2">
        <v>2020002</v>
      </c>
      <c r="B438" s="24" t="s">
        <v>364</v>
      </c>
      <c r="C438" s="1" t="s">
        <v>1243</v>
      </c>
      <c r="D438" s="10" t="s">
        <v>1244</v>
      </c>
      <c r="E438" s="10">
        <v>0</v>
      </c>
      <c r="F438" s="10">
        <v>0</v>
      </c>
      <c r="G438" s="10"/>
      <c r="H438" s="10">
        <v>0</v>
      </c>
      <c r="I438" s="10">
        <v>500</v>
      </c>
      <c r="J438" s="10">
        <v>500</v>
      </c>
      <c r="K438" s="22" t="s">
        <v>1245</v>
      </c>
      <c r="L438" s="24" t="s">
        <v>368</v>
      </c>
      <c r="M438" s="236">
        <f t="shared" si="6"/>
        <v>2020002</v>
      </c>
    </row>
    <row r="439" spans="1:13" x14ac:dyDescent="0.3">
      <c r="A439" s="2">
        <v>2020077</v>
      </c>
      <c r="B439" s="24" t="s">
        <v>1815</v>
      </c>
      <c r="C439" s="1" t="s">
        <v>1880</v>
      </c>
      <c r="D439" s="10" t="s">
        <v>1881</v>
      </c>
      <c r="E439" s="10" t="s">
        <v>1882</v>
      </c>
      <c r="F439" s="10">
        <v>4322945</v>
      </c>
      <c r="G439" s="10" t="s">
        <v>1883</v>
      </c>
      <c r="H439" s="10">
        <v>0</v>
      </c>
      <c r="I439" s="10">
        <v>823</v>
      </c>
      <c r="J439" s="10">
        <v>364</v>
      </c>
      <c r="K439" s="22"/>
      <c r="L439" s="24" t="s">
        <v>156</v>
      </c>
      <c r="M439" s="236">
        <f t="shared" si="6"/>
        <v>2020077</v>
      </c>
    </row>
    <row r="440" spans="1:13" x14ac:dyDescent="0.3">
      <c r="A440" s="2">
        <v>2020035</v>
      </c>
      <c r="B440" s="24" t="s">
        <v>458</v>
      </c>
      <c r="C440" s="1" t="s">
        <v>1513</v>
      </c>
      <c r="D440" s="10" t="s">
        <v>1514</v>
      </c>
      <c r="E440" s="10" t="s">
        <v>1515</v>
      </c>
      <c r="F440" s="10">
        <v>967883</v>
      </c>
      <c r="G440" s="10" t="s">
        <v>1516</v>
      </c>
      <c r="H440" s="27" t="s">
        <v>715</v>
      </c>
      <c r="I440" s="27" t="s">
        <v>715</v>
      </c>
      <c r="J440" s="27" t="s">
        <v>715</v>
      </c>
      <c r="K440" s="22"/>
      <c r="L440" s="24" t="s">
        <v>156</v>
      </c>
      <c r="M440" s="236">
        <f t="shared" si="6"/>
        <v>2020035</v>
      </c>
    </row>
    <row r="441" spans="1:13" x14ac:dyDescent="0.3">
      <c r="A441" s="2">
        <v>2018428</v>
      </c>
      <c r="B441" s="24" t="s">
        <v>340</v>
      </c>
      <c r="C441" s="1" t="s">
        <v>1035</v>
      </c>
      <c r="D441" s="10" t="s">
        <v>1036</v>
      </c>
      <c r="E441" s="10" t="s">
        <v>1037</v>
      </c>
      <c r="F441" s="10">
        <v>3355069015</v>
      </c>
      <c r="G441" s="10" t="s">
        <v>1038</v>
      </c>
      <c r="H441" s="27" t="s">
        <v>715</v>
      </c>
      <c r="I441" s="10">
        <v>807</v>
      </c>
      <c r="J441" s="10">
        <v>357</v>
      </c>
      <c r="K441" s="21">
        <v>43483</v>
      </c>
      <c r="L441" s="24" t="s">
        <v>156</v>
      </c>
      <c r="M441" s="236">
        <f t="shared" si="6"/>
        <v>2018428</v>
      </c>
    </row>
    <row r="442" spans="1:13" x14ac:dyDescent="0.3">
      <c r="A442" s="2">
        <v>2018464</v>
      </c>
      <c r="B442" s="24" t="s">
        <v>1159</v>
      </c>
      <c r="C442" s="1" t="s">
        <v>1201</v>
      </c>
      <c r="D442" s="10" t="s">
        <v>1202</v>
      </c>
      <c r="E442" s="10" t="s">
        <v>1791</v>
      </c>
      <c r="F442" s="10">
        <v>2873751</v>
      </c>
      <c r="G442" s="10" t="s">
        <v>1203</v>
      </c>
      <c r="H442" s="10">
        <v>0</v>
      </c>
      <c r="I442" s="10">
        <v>823</v>
      </c>
      <c r="J442" s="10">
        <v>364</v>
      </c>
      <c r="K442" s="21"/>
      <c r="L442" s="24" t="s">
        <v>156</v>
      </c>
      <c r="M442" s="236">
        <f t="shared" si="6"/>
        <v>2018464</v>
      </c>
    </row>
    <row r="443" spans="1:13" x14ac:dyDescent="0.3">
      <c r="A443" s="2">
        <v>2018393</v>
      </c>
      <c r="B443" s="24" t="s">
        <v>1762</v>
      </c>
      <c r="C443" s="1" t="s">
        <v>657</v>
      </c>
      <c r="D443" s="10" t="s">
        <v>654</v>
      </c>
      <c r="E443" s="10" t="s">
        <v>655</v>
      </c>
      <c r="F443" s="10">
        <v>4410824</v>
      </c>
      <c r="G443" s="10" t="s">
        <v>656</v>
      </c>
      <c r="H443" s="10"/>
      <c r="I443" s="10" t="s">
        <v>252</v>
      </c>
      <c r="J443" s="10" t="s">
        <v>252</v>
      </c>
      <c r="K443" s="21"/>
      <c r="L443" s="24" t="s">
        <v>1762</v>
      </c>
      <c r="M443" s="236">
        <f t="shared" si="6"/>
        <v>2018393</v>
      </c>
    </row>
    <row r="444" spans="1:13" x14ac:dyDescent="0.3">
      <c r="A444" s="2">
        <v>2020039</v>
      </c>
      <c r="B444" s="24" t="s">
        <v>216</v>
      </c>
      <c r="C444" s="1" t="s">
        <v>1555</v>
      </c>
      <c r="D444" s="10" t="s">
        <v>1556</v>
      </c>
      <c r="E444" s="10" t="s">
        <v>1557</v>
      </c>
      <c r="F444" s="10">
        <v>4463570</v>
      </c>
      <c r="G444" s="10" t="s">
        <v>1558</v>
      </c>
      <c r="H444" s="10"/>
      <c r="I444" s="10">
        <v>823</v>
      </c>
      <c r="J444" s="10">
        <v>364</v>
      </c>
      <c r="K444" s="22"/>
      <c r="L444" s="24" t="s">
        <v>211</v>
      </c>
      <c r="M444" s="236">
        <f t="shared" si="6"/>
        <v>2020039</v>
      </c>
    </row>
    <row r="445" spans="1:13" x14ac:dyDescent="0.3">
      <c r="A445" s="2">
        <v>2020052</v>
      </c>
      <c r="B445" s="24" t="s">
        <v>1155</v>
      </c>
      <c r="C445" s="1" t="s">
        <v>1725</v>
      </c>
      <c r="D445" s="10" t="s">
        <v>1726</v>
      </c>
      <c r="E445" s="10" t="s">
        <v>1727</v>
      </c>
      <c r="F445" s="10">
        <v>3754833</v>
      </c>
      <c r="G445" s="10" t="s">
        <v>1728</v>
      </c>
      <c r="H445" s="10">
        <v>0</v>
      </c>
      <c r="I445" s="10">
        <v>823</v>
      </c>
      <c r="J445" s="10">
        <v>364</v>
      </c>
      <c r="K445" s="22"/>
      <c r="L445" s="24" t="s">
        <v>211</v>
      </c>
      <c r="M445" s="236">
        <f t="shared" si="6"/>
        <v>2020052</v>
      </c>
    </row>
    <row r="446" spans="1:13" x14ac:dyDescent="0.3">
      <c r="A446" s="2">
        <v>2018436</v>
      </c>
      <c r="B446" s="24" t="s">
        <v>340</v>
      </c>
      <c r="C446" s="1" t="s">
        <v>1061</v>
      </c>
      <c r="D446" s="10" t="s">
        <v>1649</v>
      </c>
      <c r="E446" s="27" t="s">
        <v>1650</v>
      </c>
      <c r="F446" s="27">
        <v>646988010</v>
      </c>
      <c r="G446" s="10" t="s">
        <v>1062</v>
      </c>
      <c r="H446" s="27" t="s">
        <v>715</v>
      </c>
      <c r="I446" s="10">
        <v>823</v>
      </c>
      <c r="J446" s="10">
        <v>364</v>
      </c>
      <c r="K446" s="21">
        <v>43483</v>
      </c>
      <c r="L446" s="24" t="s">
        <v>156</v>
      </c>
      <c r="M446" s="236">
        <f t="shared" si="6"/>
        <v>2018436</v>
      </c>
    </row>
    <row r="447" spans="1:13" x14ac:dyDescent="0.3">
      <c r="A447" s="2">
        <v>2018328</v>
      </c>
      <c r="B447" s="24" t="s">
        <v>130</v>
      </c>
      <c r="C447" s="1" t="s">
        <v>128</v>
      </c>
      <c r="D447" s="10" t="s">
        <v>828</v>
      </c>
      <c r="E447" s="27" t="s">
        <v>715</v>
      </c>
      <c r="F447" s="27" t="s">
        <v>715</v>
      </c>
      <c r="G447" s="10" t="s">
        <v>829</v>
      </c>
      <c r="H447" s="27" t="s">
        <v>715</v>
      </c>
      <c r="I447" s="10">
        <v>807</v>
      </c>
      <c r="J447" s="10">
        <v>598</v>
      </c>
      <c r="K447" s="21">
        <v>43483</v>
      </c>
      <c r="L447" s="24" t="s">
        <v>157</v>
      </c>
      <c r="M447" s="236">
        <f t="shared" si="6"/>
        <v>2018328</v>
      </c>
    </row>
    <row r="448" spans="1:13" x14ac:dyDescent="0.3">
      <c r="A448" s="2">
        <v>2018329</v>
      </c>
      <c r="B448" s="24" t="s">
        <v>116</v>
      </c>
      <c r="C448" s="1" t="s">
        <v>129</v>
      </c>
      <c r="D448" s="10"/>
      <c r="E448" s="10"/>
      <c r="F448" s="10"/>
      <c r="G448" s="10"/>
      <c r="H448" s="10"/>
      <c r="I448" s="10"/>
      <c r="J448" s="10"/>
      <c r="K448" s="21"/>
      <c r="L448" s="24" t="s">
        <v>157</v>
      </c>
      <c r="M448" s="236">
        <f t="shared" si="6"/>
        <v>2018329</v>
      </c>
    </row>
    <row r="449" spans="1:13" x14ac:dyDescent="0.3">
      <c r="A449" s="2">
        <v>2018126</v>
      </c>
      <c r="B449" s="58" t="s">
        <v>1422</v>
      </c>
      <c r="C449" s="1" t="s">
        <v>836</v>
      </c>
      <c r="D449" s="10" t="s">
        <v>837</v>
      </c>
      <c r="E449" s="27" t="s">
        <v>715</v>
      </c>
      <c r="F449" s="27" t="s">
        <v>715</v>
      </c>
      <c r="G449" s="10" t="s">
        <v>838</v>
      </c>
      <c r="H449" s="10">
        <v>3</v>
      </c>
      <c r="I449" s="27">
        <v>1678</v>
      </c>
      <c r="J449" s="27" t="s">
        <v>715</v>
      </c>
      <c r="K449" s="21" t="s">
        <v>1271</v>
      </c>
      <c r="L449" s="24" t="s">
        <v>280</v>
      </c>
      <c r="M449" s="236">
        <f t="shared" si="6"/>
        <v>2018126</v>
      </c>
    </row>
    <row r="450" spans="1:13" x14ac:dyDescent="0.3">
      <c r="A450" s="2">
        <v>2020049</v>
      </c>
      <c r="B450" s="24" t="s">
        <v>328</v>
      </c>
      <c r="C450" s="1" t="s">
        <v>1684</v>
      </c>
      <c r="D450" s="27" t="s">
        <v>1685</v>
      </c>
      <c r="E450" s="27" t="s">
        <v>715</v>
      </c>
      <c r="F450" s="27" t="s">
        <v>715</v>
      </c>
      <c r="G450" s="10" t="s">
        <v>1686</v>
      </c>
      <c r="H450" s="27" t="s">
        <v>715</v>
      </c>
      <c r="I450" s="10">
        <v>823</v>
      </c>
      <c r="J450" s="10">
        <v>364</v>
      </c>
      <c r="K450" s="22"/>
      <c r="L450" s="24" t="s">
        <v>156</v>
      </c>
      <c r="M450" s="236">
        <f t="shared" si="6"/>
        <v>2020049</v>
      </c>
    </row>
    <row r="451" spans="1:13" x14ac:dyDescent="0.3">
      <c r="A451" s="2">
        <v>2018377</v>
      </c>
      <c r="B451" s="24" t="s">
        <v>940</v>
      </c>
      <c r="C451" s="1" t="s">
        <v>473</v>
      </c>
      <c r="D451" s="10" t="s">
        <v>474</v>
      </c>
      <c r="E451" s="10" t="s">
        <v>252</v>
      </c>
      <c r="F451" s="10" t="s">
        <v>252</v>
      </c>
      <c r="G451" s="10" t="s">
        <v>475</v>
      </c>
      <c r="H451" s="10">
        <v>2</v>
      </c>
      <c r="I451" s="10" t="s">
        <v>252</v>
      </c>
      <c r="J451" s="10" t="s">
        <v>252</v>
      </c>
      <c r="K451" s="21"/>
      <c r="L451" s="24" t="s">
        <v>375</v>
      </c>
      <c r="M451" s="236">
        <f t="shared" ref="M451:M514" si="7">A451</f>
        <v>2018377</v>
      </c>
    </row>
    <row r="452" spans="1:13" x14ac:dyDescent="0.3">
      <c r="A452" s="2">
        <v>2018321</v>
      </c>
      <c r="B452" s="24" t="s">
        <v>130</v>
      </c>
      <c r="C452" s="1" t="s">
        <v>124</v>
      </c>
      <c r="D452" s="10" t="s">
        <v>798</v>
      </c>
      <c r="E452" s="10" t="s">
        <v>799</v>
      </c>
      <c r="F452" s="10">
        <v>3719683</v>
      </c>
      <c r="G452" s="10" t="s">
        <v>800</v>
      </c>
      <c r="H452" s="27" t="s">
        <v>715</v>
      </c>
      <c r="I452" s="10">
        <v>823</v>
      </c>
      <c r="J452" s="10">
        <v>610</v>
      </c>
      <c r="K452" s="21">
        <v>43483</v>
      </c>
      <c r="L452" s="24" t="s">
        <v>157</v>
      </c>
      <c r="M452" s="236">
        <f t="shared" si="7"/>
        <v>2018321</v>
      </c>
    </row>
    <row r="453" spans="1:13" x14ac:dyDescent="0.3">
      <c r="A453" s="2">
        <v>2018051</v>
      </c>
      <c r="B453" s="24" t="s">
        <v>317</v>
      </c>
      <c r="C453" s="1" t="s">
        <v>27</v>
      </c>
      <c r="D453" s="10" t="s">
        <v>746</v>
      </c>
      <c r="E453" s="27" t="s">
        <v>715</v>
      </c>
      <c r="F453" s="27" t="s">
        <v>715</v>
      </c>
      <c r="G453" s="10" t="s">
        <v>747</v>
      </c>
      <c r="H453" s="27" t="s">
        <v>715</v>
      </c>
      <c r="I453" s="10">
        <v>839</v>
      </c>
      <c r="J453" s="10">
        <v>371</v>
      </c>
      <c r="K453" s="21">
        <v>43483</v>
      </c>
      <c r="L453" s="24" t="s">
        <v>156</v>
      </c>
      <c r="M453" s="236">
        <f t="shared" si="7"/>
        <v>2018051</v>
      </c>
    </row>
    <row r="454" spans="1:13" x14ac:dyDescent="0.3">
      <c r="A454" s="2">
        <v>2020065</v>
      </c>
      <c r="B454" s="24" t="s">
        <v>1820</v>
      </c>
      <c r="C454" s="1" t="s">
        <v>1821</v>
      </c>
      <c r="D454" s="10"/>
      <c r="E454" s="10" t="s">
        <v>338</v>
      </c>
      <c r="F454" s="10">
        <v>3723241</v>
      </c>
      <c r="G454" s="10" t="s">
        <v>1822</v>
      </c>
      <c r="H454" s="10">
        <v>0</v>
      </c>
      <c r="I454" s="10">
        <v>823</v>
      </c>
      <c r="J454" s="10">
        <v>610</v>
      </c>
      <c r="K454" s="22"/>
      <c r="L454" s="24" t="s">
        <v>157</v>
      </c>
      <c r="M454" s="236">
        <f t="shared" si="7"/>
        <v>2020065</v>
      </c>
    </row>
    <row r="455" spans="1:13" x14ac:dyDescent="0.3">
      <c r="A455" s="2">
        <v>2018052</v>
      </c>
      <c r="B455" s="24" t="s">
        <v>1536</v>
      </c>
      <c r="C455" s="1" t="s">
        <v>803</v>
      </c>
      <c r="D455" s="10" t="s">
        <v>352</v>
      </c>
      <c r="E455" s="27" t="s">
        <v>1537</v>
      </c>
      <c r="F455" s="27">
        <v>3795311</v>
      </c>
      <c r="G455" s="10" t="s">
        <v>353</v>
      </c>
      <c r="H455" s="10">
        <v>2</v>
      </c>
      <c r="I455" s="10" t="s">
        <v>1447</v>
      </c>
      <c r="J455" s="10" t="s">
        <v>1448</v>
      </c>
      <c r="K455" s="21">
        <v>43480</v>
      </c>
      <c r="L455" s="24" t="s">
        <v>568</v>
      </c>
      <c r="M455" s="236">
        <f t="shared" si="7"/>
        <v>2018052</v>
      </c>
    </row>
    <row r="456" spans="1:13" x14ac:dyDescent="0.3">
      <c r="A456" s="2">
        <v>2018439</v>
      </c>
      <c r="B456" s="24" t="s">
        <v>1155</v>
      </c>
      <c r="C456" s="1" t="s">
        <v>1070</v>
      </c>
      <c r="D456" s="10" t="s">
        <v>1071</v>
      </c>
      <c r="E456" s="27" t="s">
        <v>1277</v>
      </c>
      <c r="F456" s="27">
        <v>6505341</v>
      </c>
      <c r="G456" s="10" t="s">
        <v>1072</v>
      </c>
      <c r="H456" s="27" t="s">
        <v>715</v>
      </c>
      <c r="I456" s="27" t="s">
        <v>715</v>
      </c>
      <c r="J456" s="27" t="s">
        <v>715</v>
      </c>
      <c r="K456" s="21">
        <v>43483</v>
      </c>
      <c r="L456" s="24" t="s">
        <v>211</v>
      </c>
      <c r="M456" s="236">
        <f t="shared" si="7"/>
        <v>2018439</v>
      </c>
    </row>
    <row r="457" spans="1:13" x14ac:dyDescent="0.3">
      <c r="A457" s="2">
        <v>2018241</v>
      </c>
      <c r="B457" s="24" t="s">
        <v>1246</v>
      </c>
      <c r="C457" s="1" t="s">
        <v>91</v>
      </c>
      <c r="D457" s="10" t="s">
        <v>920</v>
      </c>
      <c r="E457" s="27" t="s">
        <v>715</v>
      </c>
      <c r="F457" s="27" t="s">
        <v>715</v>
      </c>
      <c r="G457" s="10" t="s">
        <v>921</v>
      </c>
      <c r="H457" s="27" t="s">
        <v>715</v>
      </c>
      <c r="I457" s="10">
        <v>823</v>
      </c>
      <c r="J457" s="10">
        <v>610</v>
      </c>
      <c r="K457" s="21"/>
      <c r="L457" s="24" t="s">
        <v>157</v>
      </c>
      <c r="M457" s="236">
        <f t="shared" si="7"/>
        <v>2018241</v>
      </c>
    </row>
    <row r="458" spans="1:13" x14ac:dyDescent="0.3">
      <c r="A458" s="2">
        <v>2018388</v>
      </c>
      <c r="B458" s="24" t="s">
        <v>600</v>
      </c>
      <c r="C458" s="1" t="s">
        <v>601</v>
      </c>
      <c r="D458" s="10" t="s">
        <v>602</v>
      </c>
      <c r="E458" s="10" t="s">
        <v>252</v>
      </c>
      <c r="F458" s="10" t="s">
        <v>252</v>
      </c>
      <c r="G458" s="10" t="s">
        <v>603</v>
      </c>
      <c r="H458" s="10"/>
      <c r="I458" s="10" t="s">
        <v>252</v>
      </c>
      <c r="J458" s="10" t="s">
        <v>252</v>
      </c>
      <c r="K458" s="21">
        <v>43482</v>
      </c>
      <c r="L458" s="24" t="s">
        <v>157</v>
      </c>
      <c r="M458" s="236">
        <f t="shared" si="7"/>
        <v>2018388</v>
      </c>
    </row>
    <row r="459" spans="1:13" x14ac:dyDescent="0.3">
      <c r="A459" s="2">
        <v>2021001</v>
      </c>
      <c r="B459" s="24"/>
      <c r="C459" s="1"/>
      <c r="D459" s="10"/>
      <c r="E459" s="10"/>
      <c r="F459" s="10"/>
      <c r="G459" s="10"/>
      <c r="H459" s="10"/>
      <c r="I459" s="10"/>
      <c r="J459" s="10"/>
      <c r="K459" s="22"/>
      <c r="L459" s="24"/>
      <c r="M459" s="236">
        <f t="shared" si="7"/>
        <v>2021001</v>
      </c>
    </row>
    <row r="460" spans="1:13" x14ac:dyDescent="0.3">
      <c r="A460" s="2">
        <v>2021002</v>
      </c>
      <c r="B460" s="24"/>
      <c r="C460" s="1"/>
      <c r="D460" s="10"/>
      <c r="E460" s="10"/>
      <c r="F460" s="10"/>
      <c r="G460" s="10"/>
      <c r="H460" s="10"/>
      <c r="I460" s="10"/>
      <c r="J460" s="10"/>
      <c r="K460" s="22"/>
      <c r="L460" s="24"/>
      <c r="M460" s="236">
        <f t="shared" si="7"/>
        <v>2021002</v>
      </c>
    </row>
    <row r="461" spans="1:13" x14ac:dyDescent="0.3">
      <c r="A461" s="2">
        <v>2021003</v>
      </c>
      <c r="B461" s="24"/>
      <c r="C461" s="1"/>
      <c r="D461" s="10"/>
      <c r="E461" s="10"/>
      <c r="F461" s="10"/>
      <c r="G461" s="10"/>
      <c r="H461" s="10"/>
      <c r="I461" s="10"/>
      <c r="J461" s="10"/>
      <c r="K461" s="22"/>
      <c r="L461" s="24"/>
      <c r="M461" s="236">
        <f t="shared" si="7"/>
        <v>2021003</v>
      </c>
    </row>
    <row r="462" spans="1:13" x14ac:dyDescent="0.3">
      <c r="A462" s="2">
        <v>2021004</v>
      </c>
      <c r="B462" s="24"/>
      <c r="C462" s="1"/>
      <c r="D462" s="10"/>
      <c r="E462" s="10"/>
      <c r="F462" s="10"/>
      <c r="G462" s="10"/>
      <c r="H462" s="10"/>
      <c r="I462" s="10"/>
      <c r="J462" s="10"/>
      <c r="K462" s="22"/>
      <c r="L462" s="24"/>
      <c r="M462" s="236">
        <f t="shared" si="7"/>
        <v>2021004</v>
      </c>
    </row>
    <row r="463" spans="1:13" x14ac:dyDescent="0.3">
      <c r="A463" s="2">
        <v>2021005</v>
      </c>
      <c r="B463" s="24"/>
      <c r="C463" s="1"/>
      <c r="D463" s="10"/>
      <c r="E463" s="10"/>
      <c r="F463" s="10"/>
      <c r="G463" s="10"/>
      <c r="H463" s="10"/>
      <c r="I463" s="10"/>
      <c r="J463" s="10"/>
      <c r="K463" s="22"/>
      <c r="L463" s="24"/>
      <c r="M463" s="236">
        <f t="shared" si="7"/>
        <v>2021005</v>
      </c>
    </row>
    <row r="464" spans="1:13" x14ac:dyDescent="0.3">
      <c r="A464" s="2">
        <v>2021006</v>
      </c>
      <c r="B464" s="24"/>
      <c r="C464" s="1"/>
      <c r="D464" s="10"/>
      <c r="E464" s="10"/>
      <c r="F464" s="10"/>
      <c r="G464" s="10"/>
      <c r="H464" s="10"/>
      <c r="I464" s="10"/>
      <c r="J464" s="10"/>
      <c r="K464" s="22"/>
      <c r="L464" s="24"/>
      <c r="M464" s="236">
        <f t="shared" si="7"/>
        <v>2021006</v>
      </c>
    </row>
    <row r="465" spans="1:13" x14ac:dyDescent="0.3">
      <c r="A465" s="2">
        <v>2021007</v>
      </c>
      <c r="B465" s="24"/>
      <c r="C465" s="1"/>
      <c r="D465" s="10"/>
      <c r="E465" s="10"/>
      <c r="F465" s="10"/>
      <c r="G465" s="10"/>
      <c r="H465" s="10"/>
      <c r="I465" s="10"/>
      <c r="J465" s="10"/>
      <c r="K465" s="22"/>
      <c r="L465" s="24"/>
      <c r="M465" s="236">
        <f t="shared" si="7"/>
        <v>2021007</v>
      </c>
    </row>
    <row r="466" spans="1:13" x14ac:dyDescent="0.3">
      <c r="A466" s="2">
        <v>2021008</v>
      </c>
      <c r="B466" s="24"/>
      <c r="C466" s="1"/>
      <c r="D466" s="10"/>
      <c r="E466" s="10"/>
      <c r="F466" s="10"/>
      <c r="G466" s="10"/>
      <c r="H466" s="10"/>
      <c r="I466" s="10"/>
      <c r="J466" s="10"/>
      <c r="K466" s="22"/>
      <c r="L466" s="24"/>
      <c r="M466" s="236">
        <f t="shared" si="7"/>
        <v>2021008</v>
      </c>
    </row>
    <row r="467" spans="1:13" x14ac:dyDescent="0.3">
      <c r="A467" s="2">
        <v>2021009</v>
      </c>
      <c r="B467" s="24"/>
      <c r="C467" s="1"/>
      <c r="D467" s="10"/>
      <c r="E467" s="10"/>
      <c r="F467" s="10"/>
      <c r="G467" s="10"/>
      <c r="H467" s="10"/>
      <c r="I467" s="10"/>
      <c r="J467" s="10"/>
      <c r="K467" s="22"/>
      <c r="L467" s="24"/>
      <c r="M467" s="236">
        <f t="shared" si="7"/>
        <v>2021009</v>
      </c>
    </row>
    <row r="468" spans="1:13" x14ac:dyDescent="0.3">
      <c r="A468" s="2">
        <v>2021010</v>
      </c>
      <c r="B468" s="24"/>
      <c r="C468" s="1"/>
      <c r="D468" s="10"/>
      <c r="E468" s="10"/>
      <c r="F468" s="10"/>
      <c r="G468" s="10"/>
      <c r="H468" s="10"/>
      <c r="I468" s="10"/>
      <c r="J468" s="10"/>
      <c r="K468" s="22"/>
      <c r="L468" s="24"/>
      <c r="M468" s="236">
        <f t="shared" si="7"/>
        <v>2021010</v>
      </c>
    </row>
    <row r="469" spans="1:13" x14ac:dyDescent="0.3">
      <c r="A469" s="2">
        <v>2021011</v>
      </c>
      <c r="B469" s="24"/>
      <c r="C469" s="1"/>
      <c r="D469" s="10"/>
      <c r="E469" s="10"/>
      <c r="F469" s="10"/>
      <c r="G469" s="10"/>
      <c r="H469" s="10"/>
      <c r="I469" s="10"/>
      <c r="J469" s="10"/>
      <c r="K469" s="22"/>
      <c r="L469" s="24"/>
      <c r="M469" s="236">
        <f t="shared" si="7"/>
        <v>2021011</v>
      </c>
    </row>
    <row r="470" spans="1:13" x14ac:dyDescent="0.3">
      <c r="A470" s="2">
        <v>2021012</v>
      </c>
      <c r="B470" s="24"/>
      <c r="C470" s="1"/>
      <c r="D470" s="10"/>
      <c r="E470" s="10"/>
      <c r="F470" s="10"/>
      <c r="G470" s="10"/>
      <c r="H470" s="10"/>
      <c r="I470" s="10"/>
      <c r="J470" s="10"/>
      <c r="K470" s="22"/>
      <c r="L470" s="24"/>
      <c r="M470" s="236">
        <f t="shared" si="7"/>
        <v>2021012</v>
      </c>
    </row>
    <row r="471" spans="1:13" x14ac:dyDescent="0.3">
      <c r="A471" s="2">
        <v>2021013</v>
      </c>
      <c r="B471" s="24"/>
      <c r="C471" s="1"/>
      <c r="D471" s="10"/>
      <c r="E471" s="10"/>
      <c r="F471" s="10"/>
      <c r="G471" s="10"/>
      <c r="H471" s="10"/>
      <c r="I471" s="10"/>
      <c r="J471" s="10"/>
      <c r="K471" s="22"/>
      <c r="L471" s="24"/>
      <c r="M471" s="236">
        <f t="shared" si="7"/>
        <v>2021013</v>
      </c>
    </row>
    <row r="472" spans="1:13" x14ac:dyDescent="0.3">
      <c r="A472" s="2">
        <v>2021014</v>
      </c>
      <c r="B472" s="24"/>
      <c r="C472" s="1"/>
      <c r="D472" s="10"/>
      <c r="E472" s="10"/>
      <c r="F472" s="10"/>
      <c r="G472" s="10"/>
      <c r="H472" s="10"/>
      <c r="I472" s="10"/>
      <c r="J472" s="10"/>
      <c r="K472" s="22"/>
      <c r="L472" s="24"/>
      <c r="M472" s="236">
        <f t="shared" si="7"/>
        <v>2021014</v>
      </c>
    </row>
    <row r="473" spans="1:13" x14ac:dyDescent="0.3">
      <c r="A473" s="2">
        <v>2021015</v>
      </c>
      <c r="B473" s="24"/>
      <c r="C473" s="1"/>
      <c r="D473" s="10"/>
      <c r="E473" s="10"/>
      <c r="F473" s="10"/>
      <c r="G473" s="10"/>
      <c r="H473" s="10"/>
      <c r="I473" s="10"/>
      <c r="J473" s="10"/>
      <c r="K473" s="22"/>
      <c r="L473" s="24"/>
      <c r="M473" s="236">
        <f t="shared" si="7"/>
        <v>2021015</v>
      </c>
    </row>
    <row r="474" spans="1:13" x14ac:dyDescent="0.3">
      <c r="A474" s="2">
        <v>2021016</v>
      </c>
      <c r="B474" s="24"/>
      <c r="C474" s="1"/>
      <c r="D474" s="10"/>
      <c r="E474" s="10"/>
      <c r="F474" s="10"/>
      <c r="G474" s="10"/>
      <c r="H474" s="10"/>
      <c r="I474" s="10"/>
      <c r="J474" s="10"/>
      <c r="K474" s="22"/>
      <c r="L474" s="24"/>
      <c r="M474" s="236">
        <f t="shared" si="7"/>
        <v>2021016</v>
      </c>
    </row>
    <row r="475" spans="1:13" x14ac:dyDescent="0.3">
      <c r="A475" s="2">
        <v>2021017</v>
      </c>
      <c r="B475" s="24"/>
      <c r="C475" s="1"/>
      <c r="D475" s="10"/>
      <c r="E475" s="10"/>
      <c r="F475" s="10"/>
      <c r="G475" s="10"/>
      <c r="H475" s="10"/>
      <c r="I475" s="10"/>
      <c r="J475" s="10"/>
      <c r="K475" s="22"/>
      <c r="L475" s="24"/>
      <c r="M475" s="236">
        <f t="shared" si="7"/>
        <v>2021017</v>
      </c>
    </row>
    <row r="476" spans="1:13" x14ac:dyDescent="0.3">
      <c r="A476" s="2">
        <v>2021018</v>
      </c>
      <c r="B476" s="24"/>
      <c r="C476" s="1"/>
      <c r="D476" s="10"/>
      <c r="E476" s="10"/>
      <c r="F476" s="10"/>
      <c r="G476" s="10"/>
      <c r="H476" s="10"/>
      <c r="I476" s="10"/>
      <c r="J476" s="10"/>
      <c r="K476" s="22"/>
      <c r="L476" s="24"/>
      <c r="M476" s="236">
        <f t="shared" si="7"/>
        <v>2021018</v>
      </c>
    </row>
    <row r="477" spans="1:13" x14ac:dyDescent="0.3">
      <c r="A477" s="2">
        <v>2021019</v>
      </c>
      <c r="B477" s="24"/>
      <c r="C477" s="1"/>
      <c r="D477" s="10"/>
      <c r="E477" s="10"/>
      <c r="F477" s="10"/>
      <c r="G477" s="10"/>
      <c r="H477" s="10"/>
      <c r="I477" s="10"/>
      <c r="J477" s="10"/>
      <c r="K477" s="22"/>
      <c r="L477" s="24"/>
      <c r="M477" s="236">
        <f t="shared" si="7"/>
        <v>2021019</v>
      </c>
    </row>
    <row r="478" spans="1:13" x14ac:dyDescent="0.3">
      <c r="A478" s="2">
        <v>2021020</v>
      </c>
      <c r="B478" s="24"/>
      <c r="C478" s="1"/>
      <c r="D478" s="10"/>
      <c r="E478" s="10"/>
      <c r="F478" s="10"/>
      <c r="G478" s="10"/>
      <c r="H478" s="10"/>
      <c r="I478" s="10"/>
      <c r="J478" s="10"/>
      <c r="K478" s="22"/>
      <c r="L478" s="24"/>
      <c r="M478" s="236">
        <f t="shared" si="7"/>
        <v>2021020</v>
      </c>
    </row>
    <row r="479" spans="1:13" x14ac:dyDescent="0.3">
      <c r="A479" s="2">
        <v>2021021</v>
      </c>
      <c r="B479" s="24"/>
      <c r="C479" s="1"/>
      <c r="D479" s="10"/>
      <c r="E479" s="10"/>
      <c r="F479" s="10"/>
      <c r="G479" s="10"/>
      <c r="H479" s="10"/>
      <c r="I479" s="10"/>
      <c r="J479" s="10"/>
      <c r="K479" s="22"/>
      <c r="L479" s="24"/>
      <c r="M479" s="236">
        <f t="shared" si="7"/>
        <v>2021021</v>
      </c>
    </row>
    <row r="480" spans="1:13" x14ac:dyDescent="0.3">
      <c r="A480" s="2">
        <v>2021022</v>
      </c>
      <c r="B480" s="24"/>
      <c r="C480" s="1"/>
      <c r="D480" s="10"/>
      <c r="E480" s="10"/>
      <c r="F480" s="10"/>
      <c r="G480" s="10"/>
      <c r="H480" s="10"/>
      <c r="I480" s="10"/>
      <c r="J480" s="10"/>
      <c r="K480" s="22"/>
      <c r="L480" s="24"/>
      <c r="M480" s="236">
        <f t="shared" si="7"/>
        <v>2021022</v>
      </c>
    </row>
    <row r="481" spans="1:13" x14ac:dyDescent="0.3">
      <c r="A481" s="2">
        <v>2021023</v>
      </c>
      <c r="B481" s="24"/>
      <c r="C481" s="1"/>
      <c r="D481" s="10"/>
      <c r="E481" s="10"/>
      <c r="F481" s="10"/>
      <c r="G481" s="10"/>
      <c r="H481" s="10"/>
      <c r="I481" s="10"/>
      <c r="J481" s="10"/>
      <c r="K481" s="22"/>
      <c r="L481" s="24"/>
      <c r="M481" s="236">
        <f t="shared" si="7"/>
        <v>2021023</v>
      </c>
    </row>
    <row r="482" spans="1:13" x14ac:dyDescent="0.3">
      <c r="A482" s="2">
        <v>2021024</v>
      </c>
      <c r="B482" s="24"/>
      <c r="C482" s="1"/>
      <c r="D482" s="10"/>
      <c r="E482" s="10"/>
      <c r="F482" s="10"/>
      <c r="G482" s="10"/>
      <c r="H482" s="10"/>
      <c r="I482" s="10"/>
      <c r="J482" s="10"/>
      <c r="K482" s="22"/>
      <c r="L482" s="24"/>
      <c r="M482" s="236">
        <f t="shared" si="7"/>
        <v>2021024</v>
      </c>
    </row>
    <row r="483" spans="1:13" x14ac:dyDescent="0.3">
      <c r="A483" s="2">
        <v>2021025</v>
      </c>
      <c r="B483" s="24"/>
      <c r="C483" s="1"/>
      <c r="D483" s="10"/>
      <c r="E483" s="10"/>
      <c r="F483" s="10"/>
      <c r="G483" s="10"/>
      <c r="H483" s="10"/>
      <c r="I483" s="10"/>
      <c r="J483" s="10"/>
      <c r="K483" s="22"/>
      <c r="L483" s="24"/>
      <c r="M483" s="236">
        <f t="shared" si="7"/>
        <v>2021025</v>
      </c>
    </row>
    <row r="484" spans="1:13" x14ac:dyDescent="0.3">
      <c r="A484" s="2">
        <v>2021026</v>
      </c>
      <c r="B484" s="24"/>
      <c r="C484" s="1"/>
      <c r="D484" s="10"/>
      <c r="E484" s="10"/>
      <c r="F484" s="10"/>
      <c r="G484" s="10"/>
      <c r="H484" s="10"/>
      <c r="I484" s="10"/>
      <c r="J484" s="10"/>
      <c r="K484" s="22"/>
      <c r="L484" s="24"/>
      <c r="M484" s="236">
        <f t="shared" si="7"/>
        <v>2021026</v>
      </c>
    </row>
    <row r="485" spans="1:13" x14ac:dyDescent="0.3">
      <c r="A485" s="2">
        <v>2021027</v>
      </c>
      <c r="B485" s="24"/>
      <c r="C485" s="1"/>
      <c r="D485" s="10"/>
      <c r="E485" s="10"/>
      <c r="F485" s="10"/>
      <c r="G485" s="10"/>
      <c r="H485" s="10"/>
      <c r="I485" s="10"/>
      <c r="J485" s="10"/>
      <c r="K485" s="22"/>
      <c r="L485" s="24"/>
      <c r="M485" s="236">
        <f t="shared" si="7"/>
        <v>2021027</v>
      </c>
    </row>
    <row r="486" spans="1:13" x14ac:dyDescent="0.3">
      <c r="A486" s="2">
        <v>2021028</v>
      </c>
      <c r="B486" s="24"/>
      <c r="C486" s="1"/>
      <c r="D486" s="10"/>
      <c r="E486" s="10"/>
      <c r="F486" s="10"/>
      <c r="G486" s="10"/>
      <c r="H486" s="10"/>
      <c r="I486" s="10"/>
      <c r="J486" s="10"/>
      <c r="K486" s="22"/>
      <c r="L486" s="24"/>
      <c r="M486" s="236">
        <f t="shared" si="7"/>
        <v>2021028</v>
      </c>
    </row>
    <row r="487" spans="1:13" x14ac:dyDescent="0.3">
      <c r="A487" s="2">
        <v>2021029</v>
      </c>
      <c r="B487" s="24"/>
      <c r="C487" s="1"/>
      <c r="D487" s="10"/>
      <c r="E487" s="10"/>
      <c r="F487" s="10"/>
      <c r="G487" s="10"/>
      <c r="H487" s="10"/>
      <c r="I487" s="10"/>
      <c r="J487" s="10"/>
      <c r="K487" s="22"/>
      <c r="L487" s="24"/>
      <c r="M487" s="236">
        <f t="shared" si="7"/>
        <v>2021029</v>
      </c>
    </row>
    <row r="488" spans="1:13" x14ac:dyDescent="0.3">
      <c r="A488" s="2">
        <v>2021030</v>
      </c>
      <c r="B488" s="24"/>
      <c r="C488" s="1"/>
      <c r="D488" s="10"/>
      <c r="E488" s="10"/>
      <c r="F488" s="10"/>
      <c r="G488" s="10"/>
      <c r="H488" s="10"/>
      <c r="I488" s="10"/>
      <c r="J488" s="10"/>
      <c r="K488" s="22"/>
      <c r="L488" s="24"/>
      <c r="M488" s="236">
        <f t="shared" si="7"/>
        <v>2021030</v>
      </c>
    </row>
    <row r="489" spans="1:13" x14ac:dyDescent="0.3">
      <c r="A489" s="2">
        <v>2021031</v>
      </c>
      <c r="B489" s="24"/>
      <c r="C489" s="1"/>
      <c r="D489" s="10"/>
      <c r="E489" s="10"/>
      <c r="F489" s="10"/>
      <c r="G489" s="10"/>
      <c r="H489" s="10"/>
      <c r="I489" s="10"/>
      <c r="J489" s="10"/>
      <c r="K489" s="22"/>
      <c r="L489" s="24"/>
      <c r="M489" s="236">
        <f t="shared" si="7"/>
        <v>2021031</v>
      </c>
    </row>
    <row r="490" spans="1:13" x14ac:dyDescent="0.3">
      <c r="A490" s="2">
        <v>2021032</v>
      </c>
      <c r="B490" s="24"/>
      <c r="C490" s="1"/>
      <c r="D490" s="10"/>
      <c r="E490" s="10"/>
      <c r="F490" s="10"/>
      <c r="G490" s="10"/>
      <c r="H490" s="10"/>
      <c r="I490" s="10"/>
      <c r="J490" s="10"/>
      <c r="K490" s="22"/>
      <c r="L490" s="24"/>
      <c r="M490" s="236">
        <f t="shared" si="7"/>
        <v>2021032</v>
      </c>
    </row>
    <row r="491" spans="1:13" x14ac:dyDescent="0.3">
      <c r="A491" s="2">
        <v>2021033</v>
      </c>
      <c r="B491" s="24"/>
      <c r="C491" s="1"/>
      <c r="D491" s="10"/>
      <c r="E491" s="10"/>
      <c r="F491" s="10"/>
      <c r="G491" s="10"/>
      <c r="H491" s="10"/>
      <c r="I491" s="10"/>
      <c r="J491" s="10"/>
      <c r="K491" s="22"/>
      <c r="L491" s="24"/>
      <c r="M491" s="236">
        <f t="shared" si="7"/>
        <v>2021033</v>
      </c>
    </row>
    <row r="492" spans="1:13" x14ac:dyDescent="0.3">
      <c r="A492" s="2">
        <v>2021034</v>
      </c>
      <c r="B492" s="24"/>
      <c r="C492" s="1"/>
      <c r="D492" s="10"/>
      <c r="E492" s="10"/>
      <c r="F492" s="10"/>
      <c r="G492" s="10"/>
      <c r="H492" s="10"/>
      <c r="I492" s="10"/>
      <c r="J492" s="10"/>
      <c r="K492" s="22"/>
      <c r="L492" s="24"/>
      <c r="M492" s="236">
        <f t="shared" si="7"/>
        <v>2021034</v>
      </c>
    </row>
    <row r="493" spans="1:13" x14ac:dyDescent="0.3">
      <c r="A493" s="2">
        <v>2021035</v>
      </c>
      <c r="B493" s="24"/>
      <c r="C493" s="1"/>
      <c r="D493" s="10"/>
      <c r="E493" s="10"/>
      <c r="F493" s="10"/>
      <c r="G493" s="10"/>
      <c r="H493" s="10"/>
      <c r="I493" s="10"/>
      <c r="J493" s="10"/>
      <c r="K493" s="22"/>
      <c r="L493" s="24"/>
      <c r="M493" s="236">
        <f t="shared" si="7"/>
        <v>2021035</v>
      </c>
    </row>
    <row r="494" spans="1:13" x14ac:dyDescent="0.3">
      <c r="A494" s="2">
        <v>2021036</v>
      </c>
      <c r="B494" s="24"/>
      <c r="C494" s="1"/>
      <c r="D494" s="10"/>
      <c r="E494" s="10"/>
      <c r="F494" s="10"/>
      <c r="G494" s="10"/>
      <c r="H494" s="10"/>
      <c r="I494" s="10"/>
      <c r="J494" s="10"/>
      <c r="K494" s="22"/>
      <c r="L494" s="24"/>
      <c r="M494" s="236">
        <f t="shared" si="7"/>
        <v>2021036</v>
      </c>
    </row>
    <row r="495" spans="1:13" x14ac:dyDescent="0.3">
      <c r="A495" s="2">
        <v>2021037</v>
      </c>
      <c r="B495" s="24"/>
      <c r="C495" s="1"/>
      <c r="D495" s="10"/>
      <c r="E495" s="10"/>
      <c r="F495" s="10"/>
      <c r="G495" s="10"/>
      <c r="H495" s="10"/>
      <c r="I495" s="10"/>
      <c r="J495" s="10"/>
      <c r="K495" s="22"/>
      <c r="L495" s="24"/>
      <c r="M495" s="236">
        <f t="shared" si="7"/>
        <v>2021037</v>
      </c>
    </row>
    <row r="496" spans="1:13" x14ac:dyDescent="0.3">
      <c r="A496" s="2">
        <v>2021038</v>
      </c>
      <c r="B496" s="24"/>
      <c r="C496" s="1"/>
      <c r="D496" s="10"/>
      <c r="E496" s="10"/>
      <c r="F496" s="10"/>
      <c r="G496" s="10"/>
      <c r="H496" s="10"/>
      <c r="I496" s="10"/>
      <c r="J496" s="10"/>
      <c r="K496" s="22"/>
      <c r="L496" s="24"/>
      <c r="M496" s="236">
        <f t="shared" si="7"/>
        <v>2021038</v>
      </c>
    </row>
    <row r="497" spans="1:13" x14ac:dyDescent="0.3">
      <c r="A497" s="2">
        <v>2021039</v>
      </c>
      <c r="B497" s="24"/>
      <c r="C497" s="1"/>
      <c r="D497" s="10"/>
      <c r="E497" s="10"/>
      <c r="F497" s="10"/>
      <c r="G497" s="10"/>
      <c r="H497" s="10"/>
      <c r="I497" s="10"/>
      <c r="J497" s="10"/>
      <c r="K497" s="22"/>
      <c r="L497" s="24"/>
      <c r="M497" s="236">
        <f t="shared" si="7"/>
        <v>2021039</v>
      </c>
    </row>
    <row r="498" spans="1:13" x14ac:dyDescent="0.3">
      <c r="A498" s="2">
        <v>2021040</v>
      </c>
      <c r="B498" s="24"/>
      <c r="C498" s="1"/>
      <c r="D498" s="10"/>
      <c r="E498" s="10"/>
      <c r="F498" s="10"/>
      <c r="G498" s="10"/>
      <c r="H498" s="10"/>
      <c r="I498" s="10"/>
      <c r="J498" s="10"/>
      <c r="K498" s="22"/>
      <c r="L498" s="24"/>
      <c r="M498" s="236">
        <f t="shared" si="7"/>
        <v>2021040</v>
      </c>
    </row>
    <row r="499" spans="1:13" x14ac:dyDescent="0.3">
      <c r="A499" s="2">
        <v>2021041</v>
      </c>
      <c r="B499" s="24"/>
      <c r="C499" s="1"/>
      <c r="D499" s="10"/>
      <c r="E499" s="10"/>
      <c r="F499" s="10"/>
      <c r="G499" s="10"/>
      <c r="H499" s="10"/>
      <c r="I499" s="10"/>
      <c r="J499" s="10"/>
      <c r="K499" s="22"/>
      <c r="L499" s="24"/>
      <c r="M499" s="236">
        <f t="shared" si="7"/>
        <v>2021041</v>
      </c>
    </row>
    <row r="500" spans="1:13" x14ac:dyDescent="0.3">
      <c r="A500" s="2">
        <v>2021042</v>
      </c>
      <c r="B500" s="24"/>
      <c r="C500" s="1"/>
      <c r="D500" s="10"/>
      <c r="E500" s="10"/>
      <c r="F500" s="10"/>
      <c r="G500" s="10"/>
      <c r="H500" s="10"/>
      <c r="I500" s="10"/>
      <c r="J500" s="10"/>
      <c r="K500" s="22"/>
      <c r="L500" s="24"/>
      <c r="M500" s="236">
        <f t="shared" si="7"/>
        <v>2021042</v>
      </c>
    </row>
    <row r="501" spans="1:13" x14ac:dyDescent="0.3">
      <c r="A501" s="2">
        <v>2021043</v>
      </c>
      <c r="B501" s="24"/>
      <c r="C501" s="1"/>
      <c r="D501" s="10"/>
      <c r="E501" s="10"/>
      <c r="F501" s="10"/>
      <c r="G501" s="10"/>
      <c r="H501" s="10"/>
      <c r="I501" s="10"/>
      <c r="J501" s="10"/>
      <c r="K501" s="22"/>
      <c r="L501" s="24"/>
      <c r="M501" s="236">
        <f t="shared" si="7"/>
        <v>2021043</v>
      </c>
    </row>
    <row r="502" spans="1:13" x14ac:dyDescent="0.3">
      <c r="A502" s="2">
        <v>2021044</v>
      </c>
      <c r="B502" s="24"/>
      <c r="C502" s="1"/>
      <c r="D502" s="10"/>
      <c r="E502" s="10"/>
      <c r="F502" s="10"/>
      <c r="G502" s="10"/>
      <c r="H502" s="10"/>
      <c r="I502" s="10"/>
      <c r="J502" s="10"/>
      <c r="K502" s="22"/>
      <c r="L502" s="24"/>
      <c r="M502" s="236">
        <f t="shared" si="7"/>
        <v>2021044</v>
      </c>
    </row>
    <row r="503" spans="1:13" x14ac:dyDescent="0.3">
      <c r="A503" s="2">
        <v>2021045</v>
      </c>
      <c r="B503" s="24"/>
      <c r="C503" s="1"/>
      <c r="D503" s="10"/>
      <c r="E503" s="10"/>
      <c r="F503" s="10"/>
      <c r="G503" s="10"/>
      <c r="H503" s="10"/>
      <c r="I503" s="10"/>
      <c r="J503" s="10"/>
      <c r="K503" s="22"/>
      <c r="L503" s="24"/>
      <c r="M503" s="236">
        <f t="shared" si="7"/>
        <v>2021045</v>
      </c>
    </row>
    <row r="504" spans="1:13" x14ac:dyDescent="0.3">
      <c r="A504" s="2">
        <v>2021046</v>
      </c>
      <c r="B504" s="24"/>
      <c r="C504" s="1"/>
      <c r="D504" s="10"/>
      <c r="E504" s="10"/>
      <c r="F504" s="10"/>
      <c r="G504" s="10"/>
      <c r="H504" s="10"/>
      <c r="I504" s="10"/>
      <c r="J504" s="10"/>
      <c r="K504" s="22"/>
      <c r="L504" s="24"/>
      <c r="M504" s="236">
        <f t="shared" si="7"/>
        <v>2021046</v>
      </c>
    </row>
    <row r="505" spans="1:13" x14ac:dyDescent="0.3">
      <c r="A505" s="2">
        <v>2021047</v>
      </c>
      <c r="B505" s="24"/>
      <c r="C505" s="1"/>
      <c r="D505" s="10"/>
      <c r="E505" s="10"/>
      <c r="F505" s="10"/>
      <c r="G505" s="10"/>
      <c r="H505" s="10"/>
      <c r="I505" s="10"/>
      <c r="J505" s="10"/>
      <c r="K505" s="22"/>
      <c r="L505" s="24"/>
      <c r="M505" s="236">
        <f t="shared" si="7"/>
        <v>2021047</v>
      </c>
    </row>
    <row r="506" spans="1:13" x14ac:dyDescent="0.3">
      <c r="A506" s="2">
        <v>2021048</v>
      </c>
      <c r="B506" s="24"/>
      <c r="C506" s="1"/>
      <c r="D506" s="10"/>
      <c r="E506" s="10"/>
      <c r="F506" s="10"/>
      <c r="G506" s="10"/>
      <c r="H506" s="10"/>
      <c r="I506" s="10"/>
      <c r="J506" s="10"/>
      <c r="K506" s="22"/>
      <c r="L506" s="24"/>
      <c r="M506" s="236">
        <f t="shared" si="7"/>
        <v>2021048</v>
      </c>
    </row>
    <row r="507" spans="1:13" x14ac:dyDescent="0.3">
      <c r="A507" s="2">
        <v>2021049</v>
      </c>
      <c r="B507" s="24"/>
      <c r="C507" s="1"/>
      <c r="D507" s="10"/>
      <c r="E507" s="10"/>
      <c r="F507" s="10"/>
      <c r="G507" s="10"/>
      <c r="H507" s="10"/>
      <c r="I507" s="10"/>
      <c r="J507" s="10"/>
      <c r="K507" s="22"/>
      <c r="L507" s="24"/>
      <c r="M507" s="236">
        <f t="shared" si="7"/>
        <v>2021049</v>
      </c>
    </row>
    <row r="508" spans="1:13" x14ac:dyDescent="0.3">
      <c r="A508" s="2">
        <v>2021050</v>
      </c>
      <c r="B508" s="24"/>
      <c r="C508" s="1"/>
      <c r="D508" s="10"/>
      <c r="E508" s="10"/>
      <c r="F508" s="10"/>
      <c r="G508" s="10"/>
      <c r="H508" s="10"/>
      <c r="I508" s="10"/>
      <c r="J508" s="10"/>
      <c r="K508" s="22"/>
      <c r="L508" s="24"/>
      <c r="M508" s="236">
        <f t="shared" si="7"/>
        <v>2021050</v>
      </c>
    </row>
    <row r="509" spans="1:13" x14ac:dyDescent="0.3">
      <c r="A509" s="2">
        <v>2021051</v>
      </c>
      <c r="B509" s="24"/>
      <c r="C509" s="1"/>
      <c r="D509" s="10"/>
      <c r="E509" s="10"/>
      <c r="F509" s="10"/>
      <c r="G509" s="10"/>
      <c r="H509" s="10"/>
      <c r="I509" s="10"/>
      <c r="J509" s="10"/>
      <c r="K509" s="22"/>
      <c r="L509" s="24"/>
      <c r="M509" s="236">
        <f t="shared" si="7"/>
        <v>2021051</v>
      </c>
    </row>
    <row r="510" spans="1:13" x14ac:dyDescent="0.3">
      <c r="A510" s="2">
        <v>2021052</v>
      </c>
      <c r="B510" s="24"/>
      <c r="C510" s="1"/>
      <c r="D510" s="10"/>
      <c r="E510" s="10"/>
      <c r="F510" s="10"/>
      <c r="G510" s="10"/>
      <c r="H510" s="10"/>
      <c r="I510" s="10"/>
      <c r="J510" s="10"/>
      <c r="K510" s="22"/>
      <c r="L510" s="24"/>
      <c r="M510" s="236">
        <f t="shared" si="7"/>
        <v>2021052</v>
      </c>
    </row>
    <row r="511" spans="1:13" x14ac:dyDescent="0.3">
      <c r="A511" s="2">
        <v>2021053</v>
      </c>
      <c r="B511" s="24"/>
      <c r="C511" s="1"/>
      <c r="D511" s="10"/>
      <c r="E511" s="10"/>
      <c r="F511" s="10"/>
      <c r="G511" s="10"/>
      <c r="H511" s="10"/>
      <c r="I511" s="10"/>
      <c r="J511" s="10"/>
      <c r="K511" s="22"/>
      <c r="L511" s="24"/>
      <c r="M511" s="236">
        <f t="shared" si="7"/>
        <v>2021053</v>
      </c>
    </row>
    <row r="512" spans="1:13" x14ac:dyDescent="0.3">
      <c r="A512" s="2">
        <v>2021054</v>
      </c>
      <c r="B512" s="24"/>
      <c r="C512" s="1"/>
      <c r="D512" s="10"/>
      <c r="E512" s="10"/>
      <c r="F512" s="10"/>
      <c r="G512" s="10"/>
      <c r="H512" s="10"/>
      <c r="I512" s="10"/>
      <c r="J512" s="10"/>
      <c r="K512" s="22"/>
      <c r="L512" s="24"/>
      <c r="M512" s="236">
        <f t="shared" si="7"/>
        <v>2021054</v>
      </c>
    </row>
    <row r="513" spans="1:13" x14ac:dyDescent="0.3">
      <c r="A513" s="2">
        <v>2021055</v>
      </c>
      <c r="B513" s="24"/>
      <c r="C513" s="1"/>
      <c r="D513" s="10"/>
      <c r="E513" s="10"/>
      <c r="F513" s="10"/>
      <c r="G513" s="10"/>
      <c r="H513" s="10"/>
      <c r="I513" s="10"/>
      <c r="J513" s="10"/>
      <c r="K513" s="22"/>
      <c r="L513" s="24"/>
      <c r="M513" s="236">
        <f t="shared" si="7"/>
        <v>2021055</v>
      </c>
    </row>
    <row r="514" spans="1:13" x14ac:dyDescent="0.3">
      <c r="A514" s="2">
        <v>2021056</v>
      </c>
      <c r="B514" s="24"/>
      <c r="C514" s="1"/>
      <c r="D514" s="10"/>
      <c r="E514" s="10"/>
      <c r="F514" s="10"/>
      <c r="G514" s="10"/>
      <c r="H514" s="10"/>
      <c r="I514" s="10"/>
      <c r="J514" s="10"/>
      <c r="K514" s="22"/>
      <c r="L514" s="24"/>
      <c r="M514" s="236">
        <f t="shared" si="7"/>
        <v>2021056</v>
      </c>
    </row>
    <row r="515" spans="1:13" x14ac:dyDescent="0.3">
      <c r="A515" s="2">
        <v>2021057</v>
      </c>
      <c r="B515" s="24"/>
      <c r="C515" s="1"/>
      <c r="D515" s="10"/>
      <c r="E515" s="10"/>
      <c r="F515" s="10"/>
      <c r="G515" s="10"/>
      <c r="H515" s="10"/>
      <c r="I515" s="10"/>
      <c r="J515" s="10"/>
      <c r="K515" s="22"/>
      <c r="L515" s="24"/>
      <c r="M515" s="236">
        <f t="shared" ref="M515:M578" si="8">A515</f>
        <v>2021057</v>
      </c>
    </row>
    <row r="516" spans="1:13" x14ac:dyDescent="0.3">
      <c r="A516" s="2">
        <v>2021058</v>
      </c>
      <c r="B516" s="24"/>
      <c r="C516" s="1"/>
      <c r="D516" s="10"/>
      <c r="E516" s="10"/>
      <c r="F516" s="10"/>
      <c r="G516" s="10"/>
      <c r="H516" s="10"/>
      <c r="I516" s="10"/>
      <c r="J516" s="10"/>
      <c r="K516" s="22"/>
      <c r="L516" s="24"/>
      <c r="M516" s="236">
        <f t="shared" si="8"/>
        <v>2021058</v>
      </c>
    </row>
    <row r="517" spans="1:13" x14ac:dyDescent="0.3">
      <c r="A517" s="2">
        <v>2021059</v>
      </c>
      <c r="B517" s="24"/>
      <c r="C517" s="1"/>
      <c r="D517" s="10"/>
      <c r="E517" s="10"/>
      <c r="F517" s="10"/>
      <c r="G517" s="10"/>
      <c r="H517" s="10"/>
      <c r="I517" s="10"/>
      <c r="J517" s="10"/>
      <c r="K517" s="22"/>
      <c r="L517" s="24"/>
      <c r="M517" s="236">
        <f t="shared" si="8"/>
        <v>2021059</v>
      </c>
    </row>
    <row r="518" spans="1:13" x14ac:dyDescent="0.3">
      <c r="A518" s="2">
        <v>2021060</v>
      </c>
      <c r="B518" s="24"/>
      <c r="C518" s="1"/>
      <c r="D518" s="10"/>
      <c r="E518" s="10"/>
      <c r="F518" s="10"/>
      <c r="G518" s="10"/>
      <c r="H518" s="10"/>
      <c r="I518" s="10"/>
      <c r="J518" s="10"/>
      <c r="K518" s="22"/>
      <c r="L518" s="24"/>
      <c r="M518" s="236">
        <f t="shared" si="8"/>
        <v>2021060</v>
      </c>
    </row>
    <row r="519" spans="1:13" x14ac:dyDescent="0.3">
      <c r="A519" s="2">
        <v>2021061</v>
      </c>
      <c r="B519" s="24"/>
      <c r="C519" s="1"/>
      <c r="D519" s="10"/>
      <c r="E519" s="10"/>
      <c r="F519" s="10"/>
      <c r="G519" s="10"/>
      <c r="H519" s="10"/>
      <c r="I519" s="10"/>
      <c r="J519" s="10"/>
      <c r="K519" s="22"/>
      <c r="L519" s="24"/>
      <c r="M519" s="236">
        <f t="shared" si="8"/>
        <v>2021061</v>
      </c>
    </row>
    <row r="520" spans="1:13" x14ac:dyDescent="0.3">
      <c r="A520" s="2">
        <v>2021062</v>
      </c>
      <c r="B520" s="24"/>
      <c r="C520" s="1"/>
      <c r="D520" s="10"/>
      <c r="E520" s="10"/>
      <c r="F520" s="10"/>
      <c r="G520" s="10"/>
      <c r="H520" s="10"/>
      <c r="I520" s="10"/>
      <c r="J520" s="10"/>
      <c r="K520" s="22"/>
      <c r="L520" s="24"/>
      <c r="M520" s="236">
        <f t="shared" si="8"/>
        <v>2021062</v>
      </c>
    </row>
    <row r="521" spans="1:13" x14ac:dyDescent="0.3">
      <c r="A521" s="2">
        <v>2021063</v>
      </c>
      <c r="B521" s="24"/>
      <c r="C521" s="1"/>
      <c r="D521" s="10"/>
      <c r="E521" s="10"/>
      <c r="F521" s="10"/>
      <c r="G521" s="10"/>
      <c r="H521" s="10"/>
      <c r="I521" s="10"/>
      <c r="J521" s="10"/>
      <c r="K521" s="22"/>
      <c r="L521" s="24"/>
      <c r="M521" s="236">
        <f t="shared" si="8"/>
        <v>2021063</v>
      </c>
    </row>
    <row r="522" spans="1:13" x14ac:dyDescent="0.3">
      <c r="A522" s="2">
        <v>2021064</v>
      </c>
      <c r="B522" s="24"/>
      <c r="C522" s="1"/>
      <c r="D522" s="10"/>
      <c r="E522" s="10"/>
      <c r="F522" s="10"/>
      <c r="G522" s="10"/>
      <c r="H522" s="10"/>
      <c r="I522" s="10"/>
      <c r="J522" s="10"/>
      <c r="K522" s="22"/>
      <c r="L522" s="24"/>
      <c r="M522" s="236">
        <f t="shared" si="8"/>
        <v>2021064</v>
      </c>
    </row>
    <row r="523" spans="1:13" x14ac:dyDescent="0.3">
      <c r="A523" s="2">
        <v>2021065</v>
      </c>
      <c r="B523" s="24"/>
      <c r="C523" s="1"/>
      <c r="D523" s="10"/>
      <c r="E523" s="10"/>
      <c r="F523" s="10"/>
      <c r="G523" s="10"/>
      <c r="H523" s="10"/>
      <c r="I523" s="10"/>
      <c r="J523" s="10"/>
      <c r="K523" s="22"/>
      <c r="L523" s="24"/>
      <c r="M523" s="236">
        <f t="shared" si="8"/>
        <v>2021065</v>
      </c>
    </row>
    <row r="524" spans="1:13" x14ac:dyDescent="0.3">
      <c r="A524" s="2">
        <v>2021066</v>
      </c>
      <c r="B524" s="24"/>
      <c r="C524" s="1"/>
      <c r="D524" s="10"/>
      <c r="E524" s="10"/>
      <c r="F524" s="10"/>
      <c r="G524" s="10"/>
      <c r="H524" s="10"/>
      <c r="I524" s="10"/>
      <c r="J524" s="10"/>
      <c r="K524" s="22"/>
      <c r="L524" s="24"/>
      <c r="M524" s="236">
        <f t="shared" si="8"/>
        <v>2021066</v>
      </c>
    </row>
    <row r="525" spans="1:13" x14ac:dyDescent="0.3">
      <c r="A525" s="2">
        <v>2021067</v>
      </c>
      <c r="B525" s="24"/>
      <c r="C525" s="1"/>
      <c r="D525" s="10"/>
      <c r="E525" s="10"/>
      <c r="F525" s="10"/>
      <c r="G525" s="10"/>
      <c r="H525" s="10"/>
      <c r="I525" s="10"/>
      <c r="J525" s="10"/>
      <c r="K525" s="22"/>
      <c r="L525" s="24"/>
      <c r="M525" s="236">
        <f t="shared" si="8"/>
        <v>2021067</v>
      </c>
    </row>
    <row r="526" spans="1:13" x14ac:dyDescent="0.3">
      <c r="A526" s="2">
        <v>2021068</v>
      </c>
      <c r="B526" s="24"/>
      <c r="C526" s="1"/>
      <c r="D526" s="10"/>
      <c r="E526" s="10"/>
      <c r="F526" s="10"/>
      <c r="G526" s="10"/>
      <c r="H526" s="10"/>
      <c r="I526" s="10"/>
      <c r="J526" s="10"/>
      <c r="K526" s="22"/>
      <c r="L526" s="24"/>
      <c r="M526" s="236">
        <f t="shared" si="8"/>
        <v>2021068</v>
      </c>
    </row>
    <row r="527" spans="1:13" x14ac:dyDescent="0.3">
      <c r="A527" s="2">
        <v>2021069</v>
      </c>
      <c r="B527" s="24"/>
      <c r="C527" s="1"/>
      <c r="D527" s="10"/>
      <c r="E527" s="10"/>
      <c r="F527" s="10"/>
      <c r="G527" s="10"/>
      <c r="H527" s="10"/>
      <c r="I527" s="10"/>
      <c r="J527" s="10"/>
      <c r="K527" s="22"/>
      <c r="L527" s="24"/>
      <c r="M527" s="236">
        <f t="shared" si="8"/>
        <v>2021069</v>
      </c>
    </row>
    <row r="528" spans="1:13" x14ac:dyDescent="0.3">
      <c r="A528" s="2">
        <v>2021070</v>
      </c>
      <c r="B528" s="24"/>
      <c r="C528" s="1"/>
      <c r="D528" s="10"/>
      <c r="E528" s="10"/>
      <c r="F528" s="10"/>
      <c r="G528" s="10"/>
      <c r="H528" s="10"/>
      <c r="I528" s="10"/>
      <c r="J528" s="10"/>
      <c r="K528" s="22"/>
      <c r="L528" s="24"/>
      <c r="M528" s="236">
        <f t="shared" si="8"/>
        <v>2021070</v>
      </c>
    </row>
    <row r="529" spans="1:13" x14ac:dyDescent="0.3">
      <c r="A529" s="2">
        <v>2021071</v>
      </c>
      <c r="B529" s="24"/>
      <c r="C529" s="1"/>
      <c r="D529" s="10"/>
      <c r="E529" s="10"/>
      <c r="F529" s="10"/>
      <c r="G529" s="10"/>
      <c r="H529" s="10"/>
      <c r="I529" s="10"/>
      <c r="J529" s="10"/>
      <c r="K529" s="22"/>
      <c r="L529" s="24"/>
      <c r="M529" s="236">
        <f t="shared" si="8"/>
        <v>2021071</v>
      </c>
    </row>
    <row r="530" spans="1:13" x14ac:dyDescent="0.3">
      <c r="A530" s="2">
        <v>2021072</v>
      </c>
      <c r="B530" s="24"/>
      <c r="C530" s="1"/>
      <c r="D530" s="10"/>
      <c r="E530" s="10"/>
      <c r="F530" s="10"/>
      <c r="G530" s="10"/>
      <c r="H530" s="10"/>
      <c r="I530" s="10"/>
      <c r="J530" s="10"/>
      <c r="K530" s="22"/>
      <c r="L530" s="24"/>
      <c r="M530" s="236">
        <f t="shared" si="8"/>
        <v>2021072</v>
      </c>
    </row>
    <row r="531" spans="1:13" x14ac:dyDescent="0.3">
      <c r="A531" s="2">
        <v>2021073</v>
      </c>
      <c r="B531" s="24"/>
      <c r="C531" s="1"/>
      <c r="D531" s="10"/>
      <c r="E531" s="10"/>
      <c r="F531" s="10"/>
      <c r="G531" s="10"/>
      <c r="H531" s="10"/>
      <c r="I531" s="10"/>
      <c r="J531" s="10"/>
      <c r="K531" s="22"/>
      <c r="L531" s="24"/>
      <c r="M531" s="236">
        <f t="shared" si="8"/>
        <v>2021073</v>
      </c>
    </row>
    <row r="532" spans="1:13" x14ac:dyDescent="0.3">
      <c r="A532" s="2">
        <v>2021074</v>
      </c>
      <c r="B532" s="24"/>
      <c r="C532" s="1"/>
      <c r="D532" s="10"/>
      <c r="E532" s="10"/>
      <c r="F532" s="10"/>
      <c r="G532" s="10"/>
      <c r="H532" s="10"/>
      <c r="I532" s="10"/>
      <c r="J532" s="10"/>
      <c r="K532" s="22"/>
      <c r="L532" s="24"/>
      <c r="M532" s="236">
        <f t="shared" si="8"/>
        <v>2021074</v>
      </c>
    </row>
    <row r="533" spans="1:13" x14ac:dyDescent="0.3">
      <c r="A533" s="2">
        <v>2021075</v>
      </c>
      <c r="B533" s="24"/>
      <c r="C533" s="1"/>
      <c r="D533" s="10"/>
      <c r="E533" s="10"/>
      <c r="F533" s="10"/>
      <c r="G533" s="10"/>
      <c r="H533" s="10"/>
      <c r="I533" s="10"/>
      <c r="J533" s="10"/>
      <c r="K533" s="22"/>
      <c r="L533" s="24"/>
      <c r="M533" s="236">
        <f t="shared" si="8"/>
        <v>2021075</v>
      </c>
    </row>
    <row r="534" spans="1:13" x14ac:dyDescent="0.3">
      <c r="A534" s="2">
        <v>2021076</v>
      </c>
      <c r="B534" s="24"/>
      <c r="C534" s="1"/>
      <c r="D534" s="10"/>
      <c r="E534" s="10"/>
      <c r="F534" s="10"/>
      <c r="G534" s="10"/>
      <c r="H534" s="10"/>
      <c r="I534" s="10"/>
      <c r="J534" s="10"/>
      <c r="K534" s="22"/>
      <c r="L534" s="24"/>
      <c r="M534" s="236">
        <f t="shared" si="8"/>
        <v>2021076</v>
      </c>
    </row>
    <row r="535" spans="1:13" x14ac:dyDescent="0.3">
      <c r="A535" s="2">
        <v>2021077</v>
      </c>
      <c r="B535" s="24"/>
      <c r="C535" s="1"/>
      <c r="D535" s="10"/>
      <c r="E535" s="10"/>
      <c r="F535" s="10"/>
      <c r="G535" s="10"/>
      <c r="H535" s="10"/>
      <c r="I535" s="10"/>
      <c r="J535" s="10"/>
      <c r="K535" s="22"/>
      <c r="L535" s="24"/>
      <c r="M535" s="236">
        <f t="shared" si="8"/>
        <v>2021077</v>
      </c>
    </row>
    <row r="536" spans="1:13" x14ac:dyDescent="0.3">
      <c r="A536" s="2">
        <v>2021078</v>
      </c>
      <c r="B536" s="24"/>
      <c r="C536" s="1"/>
      <c r="D536" s="10"/>
      <c r="E536" s="10"/>
      <c r="F536" s="10"/>
      <c r="G536" s="10"/>
      <c r="H536" s="10"/>
      <c r="I536" s="10"/>
      <c r="J536" s="10"/>
      <c r="K536" s="22"/>
      <c r="L536" s="24"/>
      <c r="M536" s="236">
        <f t="shared" si="8"/>
        <v>2021078</v>
      </c>
    </row>
    <row r="537" spans="1:13" x14ac:dyDescent="0.3">
      <c r="A537" s="2">
        <v>2021079</v>
      </c>
      <c r="B537" s="4"/>
      <c r="C537" s="4"/>
      <c r="D537" s="10"/>
      <c r="E537" s="10"/>
      <c r="F537" s="10"/>
      <c r="G537" s="10"/>
      <c r="H537" s="10"/>
      <c r="I537" s="10"/>
      <c r="J537" s="10"/>
      <c r="K537" s="22"/>
      <c r="L537" s="24"/>
      <c r="M537" s="236">
        <f t="shared" si="8"/>
        <v>2021079</v>
      </c>
    </row>
    <row r="538" spans="1:13" x14ac:dyDescent="0.3">
      <c r="A538" s="2">
        <v>2021080</v>
      </c>
      <c r="B538" s="4"/>
      <c r="C538" s="4"/>
      <c r="D538" s="10"/>
      <c r="E538" s="10"/>
      <c r="F538" s="10"/>
      <c r="G538" s="10"/>
      <c r="H538" s="10"/>
      <c r="I538" s="10"/>
      <c r="J538" s="10"/>
      <c r="K538" s="22"/>
      <c r="L538" s="24"/>
      <c r="M538" s="236">
        <f t="shared" si="8"/>
        <v>2021080</v>
      </c>
    </row>
    <row r="539" spans="1:13" x14ac:dyDescent="0.3">
      <c r="A539" s="2">
        <v>2021081</v>
      </c>
      <c r="B539" s="10"/>
      <c r="C539" s="10"/>
      <c r="D539" s="10"/>
      <c r="E539" s="10"/>
      <c r="F539" s="10"/>
      <c r="G539" s="10"/>
      <c r="H539" s="10"/>
      <c r="I539" s="10"/>
      <c r="J539" s="10"/>
      <c r="K539" s="22"/>
      <c r="L539" s="24"/>
      <c r="M539" s="236">
        <f t="shared" si="8"/>
        <v>2021081</v>
      </c>
    </row>
    <row r="540" spans="1:13" x14ac:dyDescent="0.3">
      <c r="A540" s="2">
        <v>2021082</v>
      </c>
      <c r="B540" s="10"/>
      <c r="C540" s="10"/>
      <c r="D540" s="10"/>
      <c r="E540" s="10"/>
      <c r="F540" s="10"/>
      <c r="G540" s="10"/>
      <c r="H540" s="10"/>
      <c r="I540" s="10"/>
      <c r="J540" s="10"/>
      <c r="K540" s="22"/>
      <c r="L540" s="24"/>
      <c r="M540" s="236">
        <f t="shared" si="8"/>
        <v>2021082</v>
      </c>
    </row>
    <row r="541" spans="1:13" x14ac:dyDescent="0.3">
      <c r="A541" s="2">
        <v>2021083</v>
      </c>
      <c r="B541" s="10"/>
      <c r="C541" s="10"/>
      <c r="D541" s="10"/>
      <c r="E541" s="10"/>
      <c r="F541" s="10"/>
      <c r="G541" s="10"/>
      <c r="H541" s="10"/>
      <c r="I541" s="10"/>
      <c r="J541" s="10"/>
      <c r="K541" s="22"/>
      <c r="L541" s="24"/>
      <c r="M541" s="236">
        <f t="shared" si="8"/>
        <v>2021083</v>
      </c>
    </row>
    <row r="542" spans="1:13" x14ac:dyDescent="0.3">
      <c r="A542" s="2">
        <v>2021084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22"/>
      <c r="L542" s="25"/>
      <c r="M542" s="236">
        <f t="shared" si="8"/>
        <v>2021084</v>
      </c>
    </row>
    <row r="543" spans="1:13" x14ac:dyDescent="0.3">
      <c r="A543" s="2">
        <v>2021085</v>
      </c>
      <c r="B543" s="10"/>
      <c r="C543" s="10"/>
      <c r="D543" s="10"/>
      <c r="E543" s="10"/>
      <c r="F543" s="10"/>
      <c r="G543" s="10"/>
      <c r="H543" s="10"/>
      <c r="I543" s="10"/>
      <c r="J543" s="10"/>
      <c r="K543" s="22"/>
      <c r="L543" s="10"/>
      <c r="M543" s="236">
        <f t="shared" si="8"/>
        <v>2021085</v>
      </c>
    </row>
    <row r="544" spans="1:13" x14ac:dyDescent="0.3">
      <c r="A544" s="2">
        <v>2021086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22"/>
      <c r="L544" s="10"/>
      <c r="M544" s="236">
        <f t="shared" si="8"/>
        <v>2021086</v>
      </c>
    </row>
    <row r="545" spans="1:13" x14ac:dyDescent="0.3">
      <c r="A545" s="2">
        <v>2021087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22"/>
      <c r="L545" s="10"/>
      <c r="M545" s="236">
        <f t="shared" si="8"/>
        <v>2021087</v>
      </c>
    </row>
    <row r="546" spans="1:13" x14ac:dyDescent="0.3">
      <c r="A546" s="2">
        <v>2021088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22"/>
      <c r="L546" s="10"/>
      <c r="M546" s="236">
        <f t="shared" si="8"/>
        <v>2021088</v>
      </c>
    </row>
    <row r="547" spans="1:13" x14ac:dyDescent="0.3">
      <c r="A547" s="2">
        <v>2021089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22"/>
      <c r="L547" s="10"/>
      <c r="M547" s="236">
        <f t="shared" si="8"/>
        <v>2021089</v>
      </c>
    </row>
    <row r="548" spans="1:13" x14ac:dyDescent="0.3">
      <c r="A548" s="2">
        <v>2021090</v>
      </c>
      <c r="B548" s="10"/>
      <c r="C548" s="10"/>
      <c r="D548" s="10"/>
      <c r="E548" s="10"/>
      <c r="F548" s="10"/>
      <c r="G548" s="10"/>
      <c r="H548" s="10"/>
      <c r="I548" s="10"/>
      <c r="J548" s="10"/>
      <c r="K548" s="22"/>
      <c r="L548" s="10"/>
      <c r="M548" s="236">
        <f t="shared" si="8"/>
        <v>2021090</v>
      </c>
    </row>
    <row r="549" spans="1:13" x14ac:dyDescent="0.3">
      <c r="A549" s="2">
        <v>2021091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22"/>
      <c r="L549" s="10"/>
      <c r="M549" s="236">
        <f t="shared" si="8"/>
        <v>2021091</v>
      </c>
    </row>
    <row r="550" spans="1:13" x14ac:dyDescent="0.3">
      <c r="A550" s="2">
        <v>2021092</v>
      </c>
      <c r="B550" s="10"/>
      <c r="C550" s="10"/>
      <c r="D550" s="10"/>
      <c r="E550" s="10"/>
      <c r="F550" s="10"/>
      <c r="G550" s="10"/>
      <c r="H550" s="10"/>
      <c r="I550" s="10"/>
      <c r="J550" s="10"/>
      <c r="K550" s="22"/>
      <c r="L550" s="10"/>
      <c r="M550" s="236">
        <f t="shared" si="8"/>
        <v>2021092</v>
      </c>
    </row>
    <row r="551" spans="1:13" x14ac:dyDescent="0.3">
      <c r="A551" s="2">
        <v>2021093</v>
      </c>
      <c r="B551" s="10"/>
      <c r="C551" s="10"/>
      <c r="D551" s="10"/>
      <c r="E551" s="10"/>
      <c r="F551" s="10"/>
      <c r="G551" s="10"/>
      <c r="H551" s="10"/>
      <c r="I551" s="10"/>
      <c r="J551" s="10"/>
      <c r="K551" s="22"/>
      <c r="L551" s="10"/>
      <c r="M551" s="236">
        <f t="shared" si="8"/>
        <v>2021093</v>
      </c>
    </row>
    <row r="552" spans="1:13" x14ac:dyDescent="0.3">
      <c r="A552" s="2">
        <v>2021094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22"/>
      <c r="L552" s="10"/>
      <c r="M552" s="236">
        <f t="shared" si="8"/>
        <v>2021094</v>
      </c>
    </row>
    <row r="553" spans="1:13" x14ac:dyDescent="0.3">
      <c r="A553" s="2">
        <v>2021095</v>
      </c>
      <c r="B553" s="10"/>
      <c r="C553" s="10"/>
      <c r="D553" s="10"/>
      <c r="E553" s="10"/>
      <c r="F553" s="10"/>
      <c r="G553" s="10"/>
      <c r="H553" s="10"/>
      <c r="I553" s="10"/>
      <c r="J553" s="10"/>
      <c r="K553" s="22"/>
      <c r="L553" s="10"/>
      <c r="M553" s="236">
        <f t="shared" si="8"/>
        <v>2021095</v>
      </c>
    </row>
    <row r="554" spans="1:13" x14ac:dyDescent="0.3">
      <c r="A554" s="2">
        <v>2021096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22"/>
      <c r="L554" s="10"/>
      <c r="M554" s="236">
        <f t="shared" si="8"/>
        <v>2021096</v>
      </c>
    </row>
    <row r="555" spans="1:13" x14ac:dyDescent="0.3">
      <c r="A555" s="2">
        <v>2021097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22"/>
      <c r="L555" s="10"/>
      <c r="M555" s="236">
        <f t="shared" si="8"/>
        <v>2021097</v>
      </c>
    </row>
    <row r="556" spans="1:13" x14ac:dyDescent="0.3">
      <c r="A556" s="2">
        <v>2021098</v>
      </c>
      <c r="B556" s="10"/>
      <c r="C556" s="10"/>
      <c r="D556" s="10"/>
      <c r="E556" s="10"/>
      <c r="F556" s="10"/>
      <c r="G556" s="10"/>
      <c r="H556" s="10"/>
      <c r="I556" s="10"/>
      <c r="J556" s="10"/>
      <c r="K556" s="22"/>
      <c r="L556" s="10"/>
      <c r="M556" s="236">
        <f t="shared" si="8"/>
        <v>2021098</v>
      </c>
    </row>
    <row r="557" spans="1:13" x14ac:dyDescent="0.3">
      <c r="A557" s="2">
        <v>2021099</v>
      </c>
      <c r="B557" s="10"/>
      <c r="C557" s="10"/>
      <c r="D557" s="10"/>
      <c r="E557" s="10"/>
      <c r="F557" s="10"/>
      <c r="G557" s="10"/>
      <c r="H557" s="10"/>
      <c r="I557" s="10"/>
      <c r="J557" s="10"/>
      <c r="K557" s="22"/>
      <c r="L557" s="10"/>
      <c r="M557" s="236">
        <f t="shared" si="8"/>
        <v>2021099</v>
      </c>
    </row>
    <row r="558" spans="1:13" x14ac:dyDescent="0.3">
      <c r="A558" s="2">
        <v>2021100</v>
      </c>
      <c r="B558" s="10"/>
      <c r="C558" s="10"/>
      <c r="D558" s="10"/>
      <c r="E558" s="10"/>
      <c r="F558" s="10"/>
      <c r="G558" s="10"/>
      <c r="H558" s="10"/>
      <c r="I558" s="10"/>
      <c r="J558" s="10"/>
      <c r="K558" s="22"/>
      <c r="L558" s="10"/>
      <c r="M558" s="236">
        <f t="shared" si="8"/>
        <v>2021100</v>
      </c>
    </row>
    <row r="559" spans="1:13" x14ac:dyDescent="0.3">
      <c r="A559" s="2">
        <v>2022001</v>
      </c>
      <c r="B559" s="10"/>
      <c r="C559" s="10"/>
      <c r="D559" s="10"/>
      <c r="E559" s="10"/>
      <c r="F559" s="10"/>
      <c r="G559" s="10"/>
      <c r="H559" s="10"/>
      <c r="I559" s="10"/>
      <c r="J559" s="10"/>
      <c r="K559" s="22"/>
      <c r="L559" s="10"/>
      <c r="M559" s="236">
        <f t="shared" si="8"/>
        <v>2022001</v>
      </c>
    </row>
    <row r="560" spans="1:13" x14ac:dyDescent="0.3">
      <c r="A560" s="2">
        <v>2022002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22"/>
      <c r="L560" s="10"/>
      <c r="M560" s="236">
        <f t="shared" si="8"/>
        <v>2022002</v>
      </c>
    </row>
    <row r="561" spans="1:13" x14ac:dyDescent="0.3">
      <c r="A561" s="2">
        <v>2022003</v>
      </c>
      <c r="B561" s="10"/>
      <c r="C561" s="10"/>
      <c r="D561" s="10"/>
      <c r="E561" s="10"/>
      <c r="F561" s="10"/>
      <c r="G561" s="10"/>
      <c r="H561" s="10"/>
      <c r="I561" s="10"/>
      <c r="J561" s="10"/>
      <c r="K561" s="22"/>
      <c r="L561" s="10"/>
      <c r="M561" s="236">
        <f t="shared" si="8"/>
        <v>2022003</v>
      </c>
    </row>
    <row r="562" spans="1:13" x14ac:dyDescent="0.3">
      <c r="A562" s="2">
        <v>2022004</v>
      </c>
      <c r="B562" s="10"/>
      <c r="C562" s="10"/>
      <c r="D562" s="10"/>
      <c r="E562" s="10"/>
      <c r="F562" s="10"/>
      <c r="G562" s="10"/>
      <c r="H562" s="10"/>
      <c r="I562" s="10"/>
      <c r="J562" s="10"/>
      <c r="K562" s="22"/>
      <c r="L562" s="10"/>
      <c r="M562" s="236">
        <f t="shared" si="8"/>
        <v>2022004</v>
      </c>
    </row>
    <row r="563" spans="1:13" x14ac:dyDescent="0.3">
      <c r="A563" s="2">
        <v>2022005</v>
      </c>
      <c r="B563" s="10"/>
      <c r="C563" s="10"/>
      <c r="D563" s="10"/>
      <c r="E563" s="10"/>
      <c r="F563" s="10"/>
      <c r="G563" s="10"/>
      <c r="H563" s="10"/>
      <c r="I563" s="10"/>
      <c r="J563" s="10"/>
      <c r="K563" s="22"/>
      <c r="L563" s="10"/>
      <c r="M563" s="236">
        <f t="shared" si="8"/>
        <v>2022005</v>
      </c>
    </row>
    <row r="564" spans="1:13" x14ac:dyDescent="0.3">
      <c r="A564" s="2">
        <v>2022006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22"/>
      <c r="L564" s="10"/>
      <c r="M564" s="236">
        <f t="shared" si="8"/>
        <v>2022006</v>
      </c>
    </row>
    <row r="565" spans="1:13" x14ac:dyDescent="0.3">
      <c r="A565" s="2">
        <v>2022007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22"/>
      <c r="L565" s="10"/>
      <c r="M565" s="236">
        <f t="shared" si="8"/>
        <v>2022007</v>
      </c>
    </row>
    <row r="566" spans="1:13" x14ac:dyDescent="0.3">
      <c r="A566" s="2">
        <v>2022008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22"/>
      <c r="L566" s="10"/>
      <c r="M566" s="236">
        <f t="shared" si="8"/>
        <v>2022008</v>
      </c>
    </row>
    <row r="567" spans="1:13" x14ac:dyDescent="0.3">
      <c r="A567" s="2">
        <v>2022009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22"/>
      <c r="L567" s="10"/>
      <c r="M567" s="236">
        <f t="shared" si="8"/>
        <v>2022009</v>
      </c>
    </row>
    <row r="568" spans="1:13" x14ac:dyDescent="0.3">
      <c r="A568" s="2">
        <v>2022010</v>
      </c>
      <c r="B568" s="10"/>
      <c r="C568" s="10"/>
      <c r="D568" s="10"/>
      <c r="E568" s="10"/>
      <c r="F568" s="10"/>
      <c r="G568" s="10"/>
      <c r="H568" s="10"/>
      <c r="I568" s="10"/>
      <c r="J568" s="10"/>
      <c r="K568" s="22"/>
      <c r="L568" s="10"/>
      <c r="M568" s="236">
        <f t="shared" si="8"/>
        <v>2022010</v>
      </c>
    </row>
    <row r="569" spans="1:13" x14ac:dyDescent="0.3">
      <c r="A569" s="2">
        <v>2022011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22"/>
      <c r="L569" s="10"/>
      <c r="M569" s="236">
        <f t="shared" si="8"/>
        <v>2022011</v>
      </c>
    </row>
    <row r="570" spans="1:13" x14ac:dyDescent="0.3">
      <c r="A570" s="2">
        <v>2022012</v>
      </c>
      <c r="B570" s="10"/>
      <c r="C570" s="10"/>
      <c r="D570" s="10"/>
      <c r="E570" s="10"/>
      <c r="F570" s="10"/>
      <c r="G570" s="10"/>
      <c r="H570" s="10"/>
      <c r="I570" s="10"/>
      <c r="J570" s="10"/>
      <c r="K570" s="22"/>
      <c r="L570" s="10"/>
      <c r="M570" s="236">
        <f t="shared" si="8"/>
        <v>2022012</v>
      </c>
    </row>
    <row r="571" spans="1:13" x14ac:dyDescent="0.3">
      <c r="A571" s="2">
        <v>2022013</v>
      </c>
      <c r="B571" s="10"/>
      <c r="C571" s="10"/>
      <c r="D571" s="10"/>
      <c r="E571" s="10"/>
      <c r="F571" s="10"/>
      <c r="G571" s="10"/>
      <c r="H571" s="10"/>
      <c r="I571" s="10"/>
      <c r="J571" s="10"/>
      <c r="K571" s="22"/>
      <c r="L571" s="10"/>
      <c r="M571" s="236">
        <f t="shared" si="8"/>
        <v>2022013</v>
      </c>
    </row>
    <row r="572" spans="1:13" x14ac:dyDescent="0.3">
      <c r="A572" s="2">
        <v>2022014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22"/>
      <c r="L572" s="10"/>
      <c r="M572" s="236">
        <f t="shared" si="8"/>
        <v>2022014</v>
      </c>
    </row>
    <row r="573" spans="1:13" x14ac:dyDescent="0.3">
      <c r="A573" s="2">
        <v>2022015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22"/>
      <c r="L573" s="10"/>
      <c r="M573" s="236">
        <f t="shared" si="8"/>
        <v>2022015</v>
      </c>
    </row>
    <row r="574" spans="1:13" x14ac:dyDescent="0.3">
      <c r="A574" s="2">
        <v>2022016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22"/>
      <c r="L574" s="10"/>
      <c r="M574" s="236">
        <f t="shared" si="8"/>
        <v>2022016</v>
      </c>
    </row>
    <row r="575" spans="1:13" x14ac:dyDescent="0.3">
      <c r="A575" s="2">
        <v>2022017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22"/>
      <c r="L575" s="10"/>
      <c r="M575" s="236">
        <f t="shared" si="8"/>
        <v>2022017</v>
      </c>
    </row>
    <row r="576" spans="1:13" x14ac:dyDescent="0.3">
      <c r="A576" s="2">
        <v>2022018</v>
      </c>
      <c r="B576" s="10"/>
      <c r="C576" s="10"/>
      <c r="D576" s="10"/>
      <c r="E576" s="10"/>
      <c r="F576" s="10"/>
      <c r="G576" s="10"/>
      <c r="H576" s="10"/>
      <c r="I576" s="10"/>
      <c r="J576" s="10"/>
      <c r="K576" s="22"/>
      <c r="L576" s="10"/>
      <c r="M576" s="236">
        <f t="shared" si="8"/>
        <v>2022018</v>
      </c>
    </row>
    <row r="577" spans="1:13" x14ac:dyDescent="0.3">
      <c r="A577" s="2">
        <v>2022019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22"/>
      <c r="L577" s="10"/>
      <c r="M577" s="236">
        <f t="shared" si="8"/>
        <v>2022019</v>
      </c>
    </row>
    <row r="578" spans="1:13" x14ac:dyDescent="0.3">
      <c r="A578" s="2">
        <v>2022020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22"/>
      <c r="L578" s="10"/>
      <c r="M578" s="236">
        <f t="shared" si="8"/>
        <v>2022020</v>
      </c>
    </row>
    <row r="579" spans="1:13" x14ac:dyDescent="0.3">
      <c r="A579" s="2">
        <v>2022021</v>
      </c>
      <c r="B579" s="10"/>
      <c r="C579" s="10"/>
      <c r="D579" s="10"/>
      <c r="E579" s="10"/>
      <c r="F579" s="10"/>
      <c r="G579" s="10"/>
      <c r="H579" s="10"/>
      <c r="I579" s="10"/>
      <c r="J579" s="10"/>
      <c r="K579" s="22"/>
      <c r="L579" s="10"/>
      <c r="M579" s="236">
        <f t="shared" ref="M579:M642" si="9">A579</f>
        <v>2022021</v>
      </c>
    </row>
    <row r="580" spans="1:13" x14ac:dyDescent="0.3">
      <c r="A580" s="2">
        <v>2022022</v>
      </c>
      <c r="B580" s="10"/>
      <c r="C580" s="10"/>
      <c r="D580" s="10"/>
      <c r="E580" s="10"/>
      <c r="F580" s="10"/>
      <c r="G580" s="10"/>
      <c r="H580" s="10"/>
      <c r="I580" s="10"/>
      <c r="J580" s="10"/>
      <c r="K580" s="22"/>
      <c r="L580" s="10"/>
      <c r="M580" s="236">
        <f t="shared" si="9"/>
        <v>2022022</v>
      </c>
    </row>
    <row r="581" spans="1:13" x14ac:dyDescent="0.3">
      <c r="A581" s="2">
        <v>2022023</v>
      </c>
      <c r="B581" s="10"/>
      <c r="C581" s="10"/>
      <c r="D581" s="10"/>
      <c r="E581" s="10"/>
      <c r="F581" s="10"/>
      <c r="G581" s="10"/>
      <c r="H581" s="10"/>
      <c r="I581" s="10"/>
      <c r="J581" s="10"/>
      <c r="K581" s="22"/>
      <c r="L581" s="10"/>
      <c r="M581" s="236">
        <f t="shared" si="9"/>
        <v>2022023</v>
      </c>
    </row>
    <row r="582" spans="1:13" x14ac:dyDescent="0.3">
      <c r="A582" s="2">
        <v>2022024</v>
      </c>
      <c r="B582" s="10"/>
      <c r="C582" s="10"/>
      <c r="D582" s="10"/>
      <c r="E582" s="10"/>
      <c r="F582" s="10"/>
      <c r="G582" s="10"/>
      <c r="H582" s="10"/>
      <c r="I582" s="10"/>
      <c r="J582" s="10"/>
      <c r="K582" s="22"/>
      <c r="L582" s="10"/>
      <c r="M582" s="236">
        <f t="shared" si="9"/>
        <v>2022024</v>
      </c>
    </row>
    <row r="583" spans="1:13" x14ac:dyDescent="0.3">
      <c r="A583" s="2">
        <v>2022025</v>
      </c>
      <c r="B583" s="10"/>
      <c r="C583" s="10"/>
      <c r="D583" s="10"/>
      <c r="E583" s="10"/>
      <c r="F583" s="10"/>
      <c r="G583" s="10"/>
      <c r="H583" s="10"/>
      <c r="I583" s="10"/>
      <c r="J583" s="10"/>
      <c r="K583" s="22"/>
      <c r="L583" s="10"/>
      <c r="M583" s="236">
        <f t="shared" si="9"/>
        <v>2022025</v>
      </c>
    </row>
    <row r="584" spans="1:13" x14ac:dyDescent="0.3">
      <c r="A584" s="2">
        <v>2022026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22"/>
      <c r="L584" s="10"/>
      <c r="M584" s="236">
        <f t="shared" si="9"/>
        <v>2022026</v>
      </c>
    </row>
    <row r="585" spans="1:13" x14ac:dyDescent="0.3">
      <c r="A585" s="2">
        <v>2022027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22"/>
      <c r="L585" s="10"/>
      <c r="M585" s="236">
        <f t="shared" si="9"/>
        <v>2022027</v>
      </c>
    </row>
    <row r="586" spans="1:13" x14ac:dyDescent="0.3">
      <c r="A586" s="2">
        <v>2022028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22"/>
      <c r="L586" s="10"/>
      <c r="M586" s="236">
        <f t="shared" si="9"/>
        <v>2022028</v>
      </c>
    </row>
    <row r="587" spans="1:13" x14ac:dyDescent="0.3">
      <c r="A587" s="2">
        <v>2022029</v>
      </c>
      <c r="B587" s="10"/>
      <c r="C587" s="10"/>
      <c r="D587" s="10"/>
      <c r="E587" s="10"/>
      <c r="F587" s="10"/>
      <c r="G587" s="10"/>
      <c r="H587" s="10"/>
      <c r="I587" s="10"/>
      <c r="J587" s="10"/>
      <c r="K587" s="22"/>
      <c r="L587" s="10"/>
      <c r="M587" s="236">
        <f t="shared" si="9"/>
        <v>2022029</v>
      </c>
    </row>
    <row r="588" spans="1:13" x14ac:dyDescent="0.3">
      <c r="A588" s="2">
        <v>2022030</v>
      </c>
      <c r="B588" s="10"/>
      <c r="C588" s="10"/>
      <c r="D588" s="10"/>
      <c r="E588" s="10"/>
      <c r="F588" s="10"/>
      <c r="G588" s="10"/>
      <c r="H588" s="10"/>
      <c r="I588" s="10"/>
      <c r="J588" s="10"/>
      <c r="K588" s="22"/>
      <c r="L588" s="10"/>
      <c r="M588" s="236">
        <f t="shared" si="9"/>
        <v>2022030</v>
      </c>
    </row>
    <row r="589" spans="1:13" x14ac:dyDescent="0.3">
      <c r="A589" s="2">
        <v>2022031</v>
      </c>
      <c r="B589" s="10"/>
      <c r="C589" s="10"/>
      <c r="D589" s="10"/>
      <c r="E589" s="10"/>
      <c r="F589" s="10"/>
      <c r="G589" s="10"/>
      <c r="H589" s="10"/>
      <c r="I589" s="10"/>
      <c r="J589" s="10"/>
      <c r="K589" s="22"/>
      <c r="L589" s="10"/>
      <c r="M589" s="236">
        <f t="shared" si="9"/>
        <v>2022031</v>
      </c>
    </row>
    <row r="590" spans="1:13" x14ac:dyDescent="0.3">
      <c r="A590" s="2">
        <v>2022032</v>
      </c>
      <c r="B590" s="10"/>
      <c r="C590" s="10"/>
      <c r="D590" s="10"/>
      <c r="E590" s="10"/>
      <c r="F590" s="10"/>
      <c r="G590" s="10"/>
      <c r="H590" s="10"/>
      <c r="I590" s="10"/>
      <c r="J590" s="10"/>
      <c r="K590" s="22"/>
      <c r="L590" s="10"/>
      <c r="M590" s="236">
        <f t="shared" si="9"/>
        <v>2022032</v>
      </c>
    </row>
    <row r="591" spans="1:13" x14ac:dyDescent="0.3">
      <c r="A591" s="2">
        <v>2022033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22"/>
      <c r="L591" s="10"/>
      <c r="M591" s="236">
        <f t="shared" si="9"/>
        <v>2022033</v>
      </c>
    </row>
    <row r="592" spans="1:13" x14ac:dyDescent="0.3">
      <c r="A592" s="2">
        <v>2022034</v>
      </c>
      <c r="B592" s="10"/>
      <c r="C592" s="10"/>
      <c r="D592" s="10"/>
      <c r="E592" s="10"/>
      <c r="F592" s="10"/>
      <c r="G592" s="10"/>
      <c r="H592" s="10"/>
      <c r="I592" s="10"/>
      <c r="J592" s="10"/>
      <c r="K592" s="22"/>
      <c r="L592" s="10"/>
      <c r="M592" s="236">
        <f t="shared" si="9"/>
        <v>2022034</v>
      </c>
    </row>
    <row r="593" spans="1:13" x14ac:dyDescent="0.3">
      <c r="A593" s="2">
        <v>2022035</v>
      </c>
      <c r="B593" s="10"/>
      <c r="C593" s="10"/>
      <c r="D593" s="10"/>
      <c r="E593" s="10"/>
      <c r="F593" s="10"/>
      <c r="G593" s="10"/>
      <c r="H593" s="10"/>
      <c r="I593" s="10"/>
      <c r="J593" s="10"/>
      <c r="K593" s="22"/>
      <c r="L593" s="10"/>
      <c r="M593" s="236">
        <f t="shared" si="9"/>
        <v>2022035</v>
      </c>
    </row>
    <row r="594" spans="1:13" x14ac:dyDescent="0.3">
      <c r="A594" s="2">
        <v>2022036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22"/>
      <c r="L594" s="10"/>
      <c r="M594" s="236">
        <f t="shared" si="9"/>
        <v>2022036</v>
      </c>
    </row>
    <row r="595" spans="1:13" x14ac:dyDescent="0.3">
      <c r="A595" s="2">
        <v>2022037</v>
      </c>
      <c r="B595" s="10"/>
      <c r="C595" s="10"/>
      <c r="D595" s="10"/>
      <c r="E595" s="10"/>
      <c r="F595" s="10"/>
      <c r="G595" s="10"/>
      <c r="H595" s="10"/>
      <c r="I595" s="10"/>
      <c r="J595" s="10"/>
      <c r="K595" s="22"/>
      <c r="L595" s="10"/>
      <c r="M595" s="236">
        <f t="shared" si="9"/>
        <v>2022037</v>
      </c>
    </row>
    <row r="596" spans="1:13" x14ac:dyDescent="0.3">
      <c r="A596" s="2">
        <v>2022038</v>
      </c>
      <c r="B596" s="10"/>
      <c r="C596" s="10"/>
      <c r="D596" s="10"/>
      <c r="E596" s="10"/>
      <c r="F596" s="10"/>
      <c r="G596" s="10"/>
      <c r="H596" s="10"/>
      <c r="I596" s="10"/>
      <c r="J596" s="10"/>
      <c r="K596" s="22"/>
      <c r="L596" s="10"/>
      <c r="M596" s="236">
        <f t="shared" si="9"/>
        <v>2022038</v>
      </c>
    </row>
    <row r="597" spans="1:13" x14ac:dyDescent="0.3">
      <c r="A597" s="2">
        <v>2022039</v>
      </c>
      <c r="B597" s="10"/>
      <c r="C597" s="10"/>
      <c r="D597" s="10"/>
      <c r="E597" s="10"/>
      <c r="F597" s="10"/>
      <c r="G597" s="10"/>
      <c r="H597" s="10"/>
      <c r="I597" s="10"/>
      <c r="J597" s="10"/>
      <c r="K597" s="22"/>
      <c r="L597" s="10"/>
      <c r="M597" s="236">
        <f t="shared" si="9"/>
        <v>2022039</v>
      </c>
    </row>
    <row r="598" spans="1:13" x14ac:dyDescent="0.3">
      <c r="A598" s="2">
        <v>2022040</v>
      </c>
      <c r="B598" s="10"/>
      <c r="C598" s="10"/>
      <c r="D598" s="10"/>
      <c r="E598" s="10"/>
      <c r="F598" s="10"/>
      <c r="G598" s="10"/>
      <c r="H598" s="10"/>
      <c r="I598" s="10"/>
      <c r="J598" s="10"/>
      <c r="K598" s="22"/>
      <c r="L598" s="10"/>
      <c r="M598" s="236">
        <f t="shared" si="9"/>
        <v>2022040</v>
      </c>
    </row>
    <row r="599" spans="1:13" x14ac:dyDescent="0.3">
      <c r="A599" s="2">
        <v>2022041</v>
      </c>
      <c r="B599" s="10"/>
      <c r="C599" s="10"/>
      <c r="D599" s="10"/>
      <c r="E599" s="10"/>
      <c r="F599" s="10"/>
      <c r="G599" s="10"/>
      <c r="H599" s="10"/>
      <c r="I599" s="10"/>
      <c r="J599" s="10"/>
      <c r="K599" s="22"/>
      <c r="L599" s="10"/>
      <c r="M599" s="236">
        <f t="shared" si="9"/>
        <v>2022041</v>
      </c>
    </row>
    <row r="600" spans="1:13" x14ac:dyDescent="0.3">
      <c r="A600" s="2">
        <v>2022042</v>
      </c>
      <c r="B600" s="10"/>
      <c r="C600" s="10"/>
      <c r="D600" s="10"/>
      <c r="E600" s="10"/>
      <c r="F600" s="10"/>
      <c r="G600" s="10"/>
      <c r="H600" s="10"/>
      <c r="I600" s="10"/>
      <c r="J600" s="10"/>
      <c r="K600" s="22"/>
      <c r="L600" s="10"/>
      <c r="M600" s="236">
        <f t="shared" si="9"/>
        <v>2022042</v>
      </c>
    </row>
    <row r="601" spans="1:13" x14ac:dyDescent="0.3">
      <c r="A601" s="2">
        <v>2022043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22"/>
      <c r="L601" s="10"/>
      <c r="M601" s="236">
        <f t="shared" si="9"/>
        <v>2022043</v>
      </c>
    </row>
    <row r="602" spans="1:13" x14ac:dyDescent="0.3">
      <c r="A602" s="2">
        <v>2022044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22"/>
      <c r="L602" s="10"/>
      <c r="M602" s="236">
        <f t="shared" si="9"/>
        <v>2022044</v>
      </c>
    </row>
    <row r="603" spans="1:13" x14ac:dyDescent="0.3">
      <c r="A603" s="2">
        <v>2022045</v>
      </c>
      <c r="B603" s="10"/>
      <c r="C603" s="10"/>
      <c r="D603" s="10"/>
      <c r="E603" s="10"/>
      <c r="F603" s="10"/>
      <c r="G603" s="10"/>
      <c r="H603" s="10"/>
      <c r="I603" s="10"/>
      <c r="J603" s="10"/>
      <c r="K603" s="22"/>
      <c r="L603" s="10"/>
      <c r="M603" s="236">
        <f t="shared" si="9"/>
        <v>2022045</v>
      </c>
    </row>
    <row r="604" spans="1:13" x14ac:dyDescent="0.3">
      <c r="A604" s="2">
        <v>2022046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22"/>
      <c r="L604" s="10"/>
      <c r="M604" s="236">
        <f t="shared" si="9"/>
        <v>2022046</v>
      </c>
    </row>
    <row r="605" spans="1:13" x14ac:dyDescent="0.3">
      <c r="A605" s="2">
        <v>2022047</v>
      </c>
      <c r="B605" s="10"/>
      <c r="C605" s="10"/>
      <c r="D605" s="10"/>
      <c r="E605" s="10"/>
      <c r="F605" s="10"/>
      <c r="G605" s="10"/>
      <c r="H605" s="10"/>
      <c r="I605" s="10"/>
      <c r="J605" s="10"/>
      <c r="K605" s="22"/>
      <c r="L605" s="10"/>
      <c r="M605" s="236">
        <f t="shared" si="9"/>
        <v>2022047</v>
      </c>
    </row>
    <row r="606" spans="1:13" x14ac:dyDescent="0.3">
      <c r="A606" s="2">
        <v>2022048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22"/>
      <c r="L606" s="10"/>
      <c r="M606" s="236">
        <f t="shared" si="9"/>
        <v>2022048</v>
      </c>
    </row>
    <row r="607" spans="1:13" x14ac:dyDescent="0.3">
      <c r="A607" s="2">
        <v>2022049</v>
      </c>
      <c r="B607" s="10"/>
      <c r="C607" s="10"/>
      <c r="D607" s="10"/>
      <c r="E607" s="10"/>
      <c r="F607" s="10"/>
      <c r="G607" s="10"/>
      <c r="H607" s="10"/>
      <c r="I607" s="10"/>
      <c r="J607" s="10"/>
      <c r="K607" s="22"/>
      <c r="L607" s="10"/>
      <c r="M607" s="236">
        <f t="shared" si="9"/>
        <v>2022049</v>
      </c>
    </row>
    <row r="608" spans="1:13" x14ac:dyDescent="0.3">
      <c r="A608" s="2">
        <v>2022050</v>
      </c>
      <c r="B608" s="10"/>
      <c r="C608" s="10"/>
      <c r="D608" s="10"/>
      <c r="E608" s="10"/>
      <c r="F608" s="10"/>
      <c r="G608" s="10"/>
      <c r="H608" s="10"/>
      <c r="I608" s="10"/>
      <c r="J608" s="10"/>
      <c r="K608" s="22"/>
      <c r="L608" s="10"/>
      <c r="M608" s="236">
        <f t="shared" si="9"/>
        <v>2022050</v>
      </c>
    </row>
    <row r="609" spans="1:13" x14ac:dyDescent="0.3">
      <c r="A609" s="2">
        <v>2022051</v>
      </c>
      <c r="B609" s="10"/>
      <c r="C609" s="10"/>
      <c r="D609" s="10"/>
      <c r="E609" s="10"/>
      <c r="F609" s="10"/>
      <c r="G609" s="10"/>
      <c r="H609" s="10"/>
      <c r="I609" s="10"/>
      <c r="J609" s="10"/>
      <c r="K609" s="22"/>
      <c r="L609" s="10"/>
      <c r="M609" s="236">
        <f t="shared" si="9"/>
        <v>2022051</v>
      </c>
    </row>
    <row r="610" spans="1:13" x14ac:dyDescent="0.3">
      <c r="A610" s="2">
        <v>2022052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22"/>
      <c r="L610" s="10"/>
      <c r="M610" s="236">
        <f t="shared" si="9"/>
        <v>2022052</v>
      </c>
    </row>
    <row r="611" spans="1:13" x14ac:dyDescent="0.3">
      <c r="A611" s="2">
        <v>2022053</v>
      </c>
      <c r="B611" s="10"/>
      <c r="C611" s="10"/>
      <c r="D611" s="10"/>
      <c r="E611" s="10"/>
      <c r="F611" s="10"/>
      <c r="G611" s="10"/>
      <c r="H611" s="10"/>
      <c r="I611" s="10"/>
      <c r="J611" s="10"/>
      <c r="K611" s="22"/>
      <c r="L611" s="10"/>
      <c r="M611" s="236">
        <f t="shared" si="9"/>
        <v>2022053</v>
      </c>
    </row>
    <row r="612" spans="1:13" x14ac:dyDescent="0.3">
      <c r="A612" s="2">
        <v>2022054</v>
      </c>
      <c r="B612" s="10"/>
      <c r="C612" s="10"/>
      <c r="D612" s="10"/>
      <c r="E612" s="10"/>
      <c r="F612" s="10"/>
      <c r="G612" s="10"/>
      <c r="H612" s="10"/>
      <c r="I612" s="10"/>
      <c r="J612" s="10"/>
      <c r="K612" s="22"/>
      <c r="L612" s="10"/>
      <c r="M612" s="236">
        <f t="shared" si="9"/>
        <v>2022054</v>
      </c>
    </row>
    <row r="613" spans="1:13" x14ac:dyDescent="0.3">
      <c r="A613" s="2">
        <v>2022055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22"/>
      <c r="L613" s="10"/>
      <c r="M613" s="236">
        <f t="shared" si="9"/>
        <v>2022055</v>
      </c>
    </row>
    <row r="614" spans="1:13" x14ac:dyDescent="0.3">
      <c r="A614" s="2">
        <v>2022056</v>
      </c>
      <c r="B614" s="10"/>
      <c r="C614" s="10"/>
      <c r="D614" s="10"/>
      <c r="E614" s="10"/>
      <c r="F614" s="10"/>
      <c r="G614" s="10"/>
      <c r="H614" s="10"/>
      <c r="I614" s="10"/>
      <c r="J614" s="10"/>
      <c r="K614" s="22"/>
      <c r="L614" s="10"/>
      <c r="M614" s="236">
        <f t="shared" si="9"/>
        <v>2022056</v>
      </c>
    </row>
    <row r="615" spans="1:13" x14ac:dyDescent="0.3">
      <c r="A615" s="2">
        <v>2022057</v>
      </c>
      <c r="B615" s="10"/>
      <c r="C615" s="10"/>
      <c r="D615" s="10"/>
      <c r="E615" s="10"/>
      <c r="F615" s="10"/>
      <c r="G615" s="10"/>
      <c r="H615" s="10"/>
      <c r="I615" s="10"/>
      <c r="J615" s="10"/>
      <c r="K615" s="22"/>
      <c r="L615" s="10"/>
      <c r="M615" s="236">
        <f t="shared" si="9"/>
        <v>2022057</v>
      </c>
    </row>
    <row r="616" spans="1:13" x14ac:dyDescent="0.3">
      <c r="A616" s="2">
        <v>2022058</v>
      </c>
      <c r="B616" s="10"/>
      <c r="C616" s="10"/>
      <c r="D616" s="10"/>
      <c r="E616" s="10"/>
      <c r="F616" s="10"/>
      <c r="G616" s="10"/>
      <c r="H616" s="10"/>
      <c r="I616" s="10"/>
      <c r="J616" s="10"/>
      <c r="K616" s="22"/>
      <c r="L616" s="10"/>
      <c r="M616" s="236">
        <f t="shared" si="9"/>
        <v>2022058</v>
      </c>
    </row>
    <row r="617" spans="1:13" x14ac:dyDescent="0.3">
      <c r="A617" s="2">
        <v>2022059</v>
      </c>
      <c r="B617" s="10"/>
      <c r="C617" s="10"/>
      <c r="D617" s="10"/>
      <c r="E617" s="10"/>
      <c r="F617" s="10"/>
      <c r="G617" s="10"/>
      <c r="H617" s="10"/>
      <c r="I617" s="10"/>
      <c r="J617" s="10"/>
      <c r="K617" s="22"/>
      <c r="L617" s="10"/>
      <c r="M617" s="236">
        <f t="shared" si="9"/>
        <v>2022059</v>
      </c>
    </row>
    <row r="618" spans="1:13" x14ac:dyDescent="0.3">
      <c r="A618" s="2">
        <v>2022060</v>
      </c>
      <c r="B618" s="10"/>
      <c r="C618" s="10"/>
      <c r="D618" s="10"/>
      <c r="E618" s="10"/>
      <c r="F618" s="10"/>
      <c r="G618" s="10"/>
      <c r="H618" s="10"/>
      <c r="I618" s="10"/>
      <c r="J618" s="10"/>
      <c r="K618" s="22"/>
      <c r="L618" s="10"/>
      <c r="M618" s="236">
        <f t="shared" si="9"/>
        <v>2022060</v>
      </c>
    </row>
    <row r="619" spans="1:13" x14ac:dyDescent="0.3">
      <c r="A619" s="2">
        <v>2022061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22"/>
      <c r="L619" s="10"/>
      <c r="M619" s="236">
        <f t="shared" si="9"/>
        <v>2022061</v>
      </c>
    </row>
    <row r="620" spans="1:13" x14ac:dyDescent="0.3">
      <c r="A620" s="2">
        <v>2022062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22"/>
      <c r="L620" s="10"/>
      <c r="M620" s="236">
        <f t="shared" si="9"/>
        <v>2022062</v>
      </c>
    </row>
    <row r="621" spans="1:13" x14ac:dyDescent="0.3">
      <c r="A621" s="2">
        <v>2022063</v>
      </c>
      <c r="B621" s="10"/>
      <c r="C621" s="10"/>
      <c r="D621" s="10"/>
      <c r="E621" s="10"/>
      <c r="F621" s="10"/>
      <c r="G621" s="10"/>
      <c r="H621" s="10"/>
      <c r="I621" s="10"/>
      <c r="J621" s="10"/>
      <c r="K621" s="22"/>
      <c r="L621" s="10"/>
      <c r="M621" s="236">
        <f t="shared" si="9"/>
        <v>2022063</v>
      </c>
    </row>
    <row r="622" spans="1:13" x14ac:dyDescent="0.3">
      <c r="A622" s="2">
        <v>2022064</v>
      </c>
      <c r="B622" s="10"/>
      <c r="C622" s="10"/>
      <c r="D622" s="10"/>
      <c r="E622" s="10"/>
      <c r="F622" s="10"/>
      <c r="G622" s="10"/>
      <c r="H622" s="10"/>
      <c r="I622" s="10"/>
      <c r="J622" s="10"/>
      <c r="K622" s="22"/>
      <c r="L622" s="10"/>
      <c r="M622" s="236">
        <f t="shared" si="9"/>
        <v>2022064</v>
      </c>
    </row>
    <row r="623" spans="1:13" x14ac:dyDescent="0.3">
      <c r="A623" s="2">
        <v>2022065</v>
      </c>
      <c r="B623" s="10"/>
      <c r="C623" s="10"/>
      <c r="D623" s="10"/>
      <c r="E623" s="10"/>
      <c r="F623" s="10"/>
      <c r="G623" s="10"/>
      <c r="H623" s="10"/>
      <c r="I623" s="10"/>
      <c r="J623" s="10"/>
      <c r="K623" s="22"/>
      <c r="L623" s="10"/>
      <c r="M623" s="236">
        <f t="shared" si="9"/>
        <v>2022065</v>
      </c>
    </row>
    <row r="624" spans="1:13" x14ac:dyDescent="0.3">
      <c r="A624" s="2">
        <v>2022066</v>
      </c>
      <c r="B624" s="10"/>
      <c r="C624" s="10"/>
      <c r="D624" s="10"/>
      <c r="E624" s="10"/>
      <c r="F624" s="10"/>
      <c r="G624" s="10"/>
      <c r="H624" s="10"/>
      <c r="I624" s="10"/>
      <c r="J624" s="10"/>
      <c r="K624" s="22"/>
      <c r="L624" s="10"/>
      <c r="M624" s="236">
        <f t="shared" si="9"/>
        <v>2022066</v>
      </c>
    </row>
    <row r="625" spans="1:13" x14ac:dyDescent="0.3">
      <c r="A625" s="2">
        <v>2022067</v>
      </c>
      <c r="B625" s="10"/>
      <c r="C625" s="10"/>
      <c r="D625" s="10"/>
      <c r="E625" s="10"/>
      <c r="F625" s="10"/>
      <c r="G625" s="10"/>
      <c r="H625" s="10"/>
      <c r="I625" s="10"/>
      <c r="J625" s="10"/>
      <c r="K625" s="22"/>
      <c r="L625" s="10"/>
      <c r="M625" s="236">
        <f t="shared" si="9"/>
        <v>2022067</v>
      </c>
    </row>
    <row r="626" spans="1:13" x14ac:dyDescent="0.3">
      <c r="A626" s="2">
        <v>2022068</v>
      </c>
      <c r="B626" s="10"/>
      <c r="C626" s="10"/>
      <c r="D626" s="10"/>
      <c r="E626" s="10"/>
      <c r="F626" s="10"/>
      <c r="G626" s="10"/>
      <c r="H626" s="10"/>
      <c r="I626" s="10"/>
      <c r="J626" s="10"/>
      <c r="K626" s="22"/>
      <c r="L626" s="10"/>
      <c r="M626" s="236">
        <f t="shared" si="9"/>
        <v>2022068</v>
      </c>
    </row>
    <row r="627" spans="1:13" x14ac:dyDescent="0.3">
      <c r="A627" s="2">
        <v>2022069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22"/>
      <c r="L627" s="10"/>
      <c r="M627" s="236">
        <f t="shared" si="9"/>
        <v>2022069</v>
      </c>
    </row>
    <row r="628" spans="1:13" x14ac:dyDescent="0.3">
      <c r="A628" s="2">
        <v>2022070</v>
      </c>
      <c r="B628" s="10"/>
      <c r="C628" s="10"/>
      <c r="D628" s="10"/>
      <c r="E628" s="10"/>
      <c r="F628" s="10"/>
      <c r="G628" s="10"/>
      <c r="H628" s="10"/>
      <c r="I628" s="10"/>
      <c r="J628" s="10"/>
      <c r="K628" s="22"/>
      <c r="L628" s="10"/>
      <c r="M628" s="236">
        <f t="shared" si="9"/>
        <v>2022070</v>
      </c>
    </row>
    <row r="629" spans="1:13" x14ac:dyDescent="0.3">
      <c r="A629" s="2">
        <v>2022071</v>
      </c>
      <c r="B629" s="10"/>
      <c r="C629" s="10"/>
      <c r="D629" s="10"/>
      <c r="E629" s="10"/>
      <c r="F629" s="10"/>
      <c r="G629" s="10"/>
      <c r="H629" s="10"/>
      <c r="I629" s="10"/>
      <c r="J629" s="10"/>
      <c r="K629" s="22"/>
      <c r="L629" s="10"/>
      <c r="M629" s="236">
        <f t="shared" si="9"/>
        <v>2022071</v>
      </c>
    </row>
    <row r="630" spans="1:13" x14ac:dyDescent="0.3">
      <c r="A630" s="2">
        <v>2022072</v>
      </c>
      <c r="B630" s="10"/>
      <c r="C630" s="10"/>
      <c r="D630" s="10"/>
      <c r="E630" s="10"/>
      <c r="F630" s="10"/>
      <c r="G630" s="10"/>
      <c r="H630" s="10"/>
      <c r="I630" s="10"/>
      <c r="J630" s="10"/>
      <c r="K630" s="22"/>
      <c r="L630" s="10"/>
      <c r="M630" s="236">
        <f t="shared" si="9"/>
        <v>2022072</v>
      </c>
    </row>
    <row r="631" spans="1:13" x14ac:dyDescent="0.3">
      <c r="A631" s="2">
        <v>2022073</v>
      </c>
      <c r="B631" s="10"/>
      <c r="C631" s="10"/>
      <c r="D631" s="10"/>
      <c r="E631" s="10"/>
      <c r="F631" s="10"/>
      <c r="G631" s="10"/>
      <c r="H631" s="10"/>
      <c r="I631" s="10"/>
      <c r="J631" s="10"/>
      <c r="K631" s="22"/>
      <c r="L631" s="10"/>
      <c r="M631" s="236">
        <f t="shared" si="9"/>
        <v>2022073</v>
      </c>
    </row>
    <row r="632" spans="1:13" x14ac:dyDescent="0.3">
      <c r="A632" s="2">
        <v>2022074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22"/>
      <c r="L632" s="10"/>
      <c r="M632" s="236">
        <f t="shared" si="9"/>
        <v>2022074</v>
      </c>
    </row>
    <row r="633" spans="1:13" x14ac:dyDescent="0.3">
      <c r="A633" s="2">
        <v>2022075</v>
      </c>
      <c r="B633" s="10"/>
      <c r="C633" s="10"/>
      <c r="D633" s="10"/>
      <c r="E633" s="10"/>
      <c r="F633" s="10"/>
      <c r="G633" s="10"/>
      <c r="H633" s="10"/>
      <c r="I633" s="10"/>
      <c r="J633" s="10"/>
      <c r="K633" s="22"/>
      <c r="L633" s="10"/>
      <c r="M633" s="236">
        <f t="shared" si="9"/>
        <v>2022075</v>
      </c>
    </row>
    <row r="634" spans="1:13" x14ac:dyDescent="0.3">
      <c r="A634" s="2">
        <v>2022076</v>
      </c>
      <c r="B634" s="10"/>
      <c r="C634" s="10"/>
      <c r="D634" s="10"/>
      <c r="E634" s="10"/>
      <c r="F634" s="10"/>
      <c r="G634" s="10"/>
      <c r="H634" s="10"/>
      <c r="I634" s="10"/>
      <c r="J634" s="10"/>
      <c r="K634" s="22"/>
      <c r="L634" s="10"/>
      <c r="M634" s="236">
        <f t="shared" si="9"/>
        <v>2022076</v>
      </c>
    </row>
    <row r="635" spans="1:13" x14ac:dyDescent="0.3">
      <c r="A635" s="2">
        <v>2022077</v>
      </c>
      <c r="B635" s="10"/>
      <c r="C635" s="10"/>
      <c r="D635" s="10"/>
      <c r="E635" s="10"/>
      <c r="F635" s="10"/>
      <c r="G635" s="10"/>
      <c r="H635" s="10"/>
      <c r="I635" s="10"/>
      <c r="J635" s="10"/>
      <c r="K635" s="22"/>
      <c r="L635" s="10"/>
      <c r="M635" s="236">
        <f t="shared" si="9"/>
        <v>2022077</v>
      </c>
    </row>
    <row r="636" spans="1:13" x14ac:dyDescent="0.3">
      <c r="A636" s="2">
        <v>2022078</v>
      </c>
      <c r="B636" s="10"/>
      <c r="C636" s="10"/>
      <c r="D636" s="10"/>
      <c r="E636" s="10"/>
      <c r="F636" s="10"/>
      <c r="G636" s="10"/>
      <c r="H636" s="10"/>
      <c r="I636" s="10"/>
      <c r="J636" s="10"/>
      <c r="K636" s="22"/>
      <c r="L636" s="10"/>
      <c r="M636" s="236">
        <f t="shared" si="9"/>
        <v>2022078</v>
      </c>
    </row>
    <row r="637" spans="1:13" x14ac:dyDescent="0.3">
      <c r="A637" s="2">
        <v>2022079</v>
      </c>
      <c r="B637" s="10"/>
      <c r="C637" s="10"/>
      <c r="D637" s="10"/>
      <c r="E637" s="10"/>
      <c r="F637" s="10"/>
      <c r="G637" s="10"/>
      <c r="H637" s="10"/>
      <c r="I637" s="10"/>
      <c r="J637" s="10"/>
      <c r="K637" s="22"/>
      <c r="L637" s="10"/>
      <c r="M637" s="236">
        <f t="shared" si="9"/>
        <v>2022079</v>
      </c>
    </row>
    <row r="638" spans="1:13" x14ac:dyDescent="0.3">
      <c r="A638" s="2">
        <v>2022080</v>
      </c>
      <c r="B638" s="10"/>
      <c r="C638" s="10"/>
      <c r="D638" s="10"/>
      <c r="E638" s="10"/>
      <c r="F638" s="10"/>
      <c r="G638" s="10"/>
      <c r="H638" s="10"/>
      <c r="I638" s="10"/>
      <c r="J638" s="10"/>
      <c r="K638" s="22"/>
      <c r="L638" s="10"/>
      <c r="M638" s="236">
        <f t="shared" si="9"/>
        <v>2022080</v>
      </c>
    </row>
    <row r="639" spans="1:13" x14ac:dyDescent="0.3">
      <c r="A639" s="2">
        <v>2022081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22"/>
      <c r="L639" s="10"/>
      <c r="M639" s="236">
        <f t="shared" si="9"/>
        <v>2022081</v>
      </c>
    </row>
    <row r="640" spans="1:13" x14ac:dyDescent="0.3">
      <c r="A640" s="2">
        <v>2022082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22"/>
      <c r="L640" s="10"/>
      <c r="M640" s="236">
        <f t="shared" si="9"/>
        <v>2022082</v>
      </c>
    </row>
    <row r="641" spans="1:13" x14ac:dyDescent="0.3">
      <c r="A641" s="2">
        <v>2022083</v>
      </c>
      <c r="B641" s="10"/>
      <c r="C641" s="10"/>
      <c r="D641" s="10"/>
      <c r="E641" s="10"/>
      <c r="F641" s="10"/>
      <c r="G641" s="10"/>
      <c r="H641" s="10"/>
      <c r="I641" s="10"/>
      <c r="J641" s="10"/>
      <c r="K641" s="22"/>
      <c r="L641" s="10"/>
      <c r="M641" s="236">
        <f t="shared" si="9"/>
        <v>2022083</v>
      </c>
    </row>
    <row r="642" spans="1:13" x14ac:dyDescent="0.3">
      <c r="A642" s="2">
        <v>2022084</v>
      </c>
      <c r="B642" s="10"/>
      <c r="C642" s="10"/>
      <c r="D642" s="10"/>
      <c r="E642" s="10"/>
      <c r="F642" s="10"/>
      <c r="G642" s="10"/>
      <c r="H642" s="10"/>
      <c r="I642" s="10"/>
      <c r="J642" s="10"/>
      <c r="K642" s="22"/>
      <c r="L642" s="10"/>
      <c r="M642" s="236">
        <f t="shared" si="9"/>
        <v>2022084</v>
      </c>
    </row>
    <row r="643" spans="1:13" x14ac:dyDescent="0.3">
      <c r="A643" s="2">
        <v>2022085</v>
      </c>
      <c r="B643" s="10"/>
      <c r="C643" s="10"/>
      <c r="D643" s="10"/>
      <c r="E643" s="10"/>
      <c r="F643" s="10"/>
      <c r="G643" s="10"/>
      <c r="H643" s="10"/>
      <c r="I643" s="10"/>
      <c r="J643" s="10"/>
      <c r="K643" s="22"/>
      <c r="L643" s="10"/>
      <c r="M643" s="236">
        <f t="shared" ref="M643:M706" si="10">A643</f>
        <v>2022085</v>
      </c>
    </row>
    <row r="644" spans="1:13" x14ac:dyDescent="0.3">
      <c r="A644" s="2">
        <v>2022086</v>
      </c>
      <c r="B644" s="10"/>
      <c r="C644" s="10"/>
      <c r="D644" s="10"/>
      <c r="E644" s="10"/>
      <c r="F644" s="10"/>
      <c r="G644" s="10"/>
      <c r="H644" s="10"/>
      <c r="I644" s="10"/>
      <c r="J644" s="10"/>
      <c r="K644" s="22"/>
      <c r="L644" s="10"/>
      <c r="M644" s="236">
        <f t="shared" si="10"/>
        <v>2022086</v>
      </c>
    </row>
    <row r="645" spans="1:13" x14ac:dyDescent="0.3">
      <c r="A645" s="2">
        <v>2022087</v>
      </c>
      <c r="B645" s="10"/>
      <c r="C645" s="10"/>
      <c r="D645" s="10"/>
      <c r="E645" s="10"/>
      <c r="F645" s="10"/>
      <c r="G645" s="10"/>
      <c r="H645" s="10"/>
      <c r="I645" s="10"/>
      <c r="J645" s="10"/>
      <c r="K645" s="22"/>
      <c r="L645" s="10"/>
      <c r="M645" s="236">
        <f t="shared" si="10"/>
        <v>2022087</v>
      </c>
    </row>
    <row r="646" spans="1:13" x14ac:dyDescent="0.3">
      <c r="A646" s="2">
        <v>2022088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22"/>
      <c r="L646" s="10"/>
      <c r="M646" s="236">
        <f t="shared" si="10"/>
        <v>2022088</v>
      </c>
    </row>
    <row r="647" spans="1:13" x14ac:dyDescent="0.3">
      <c r="A647" s="2">
        <v>2022089</v>
      </c>
      <c r="B647" s="10"/>
      <c r="C647" s="10"/>
      <c r="D647" s="10"/>
      <c r="E647" s="10"/>
      <c r="F647" s="10"/>
      <c r="G647" s="10"/>
      <c r="H647" s="10"/>
      <c r="I647" s="10"/>
      <c r="J647" s="10"/>
      <c r="K647" s="22"/>
      <c r="L647" s="10"/>
      <c r="M647" s="236">
        <f t="shared" si="10"/>
        <v>2022089</v>
      </c>
    </row>
    <row r="648" spans="1:13" x14ac:dyDescent="0.3">
      <c r="A648" s="2">
        <v>2022090</v>
      </c>
      <c r="B648" s="10"/>
      <c r="C648" s="10"/>
      <c r="D648" s="10"/>
      <c r="E648" s="10"/>
      <c r="F648" s="10"/>
      <c r="G648" s="10"/>
      <c r="H648" s="10"/>
      <c r="I648" s="10"/>
      <c r="J648" s="10"/>
      <c r="K648" s="22"/>
      <c r="L648" s="10"/>
      <c r="M648" s="236">
        <f t="shared" si="10"/>
        <v>2022090</v>
      </c>
    </row>
    <row r="649" spans="1:13" x14ac:dyDescent="0.3">
      <c r="A649" s="2">
        <v>2022091</v>
      </c>
      <c r="B649" s="10"/>
      <c r="C649" s="10"/>
      <c r="D649" s="10"/>
      <c r="E649" s="10"/>
      <c r="F649" s="10"/>
      <c r="G649" s="10"/>
      <c r="H649" s="10"/>
      <c r="I649" s="10"/>
      <c r="J649" s="10"/>
      <c r="K649" s="22"/>
      <c r="L649" s="10"/>
      <c r="M649" s="236">
        <f t="shared" si="10"/>
        <v>2022091</v>
      </c>
    </row>
    <row r="650" spans="1:13" x14ac:dyDescent="0.3">
      <c r="A650" s="2">
        <v>2022092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22"/>
      <c r="L650" s="10"/>
      <c r="M650" s="236">
        <f t="shared" si="10"/>
        <v>2022092</v>
      </c>
    </row>
    <row r="651" spans="1:13" x14ac:dyDescent="0.3">
      <c r="A651" s="2">
        <v>2022093</v>
      </c>
      <c r="B651" s="10"/>
      <c r="C651" s="10"/>
      <c r="D651" s="10"/>
      <c r="E651" s="10"/>
      <c r="F651" s="10"/>
      <c r="G651" s="10"/>
      <c r="H651" s="10"/>
      <c r="I651" s="10"/>
      <c r="J651" s="10"/>
      <c r="K651" s="22"/>
      <c r="L651" s="10"/>
      <c r="M651" s="236">
        <f t="shared" si="10"/>
        <v>2022093</v>
      </c>
    </row>
    <row r="652" spans="1:13" x14ac:dyDescent="0.3">
      <c r="A652" s="2">
        <v>2022094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22"/>
      <c r="L652" s="10"/>
      <c r="M652" s="236">
        <f t="shared" si="10"/>
        <v>2022094</v>
      </c>
    </row>
    <row r="653" spans="1:13" x14ac:dyDescent="0.3">
      <c r="A653" s="2">
        <v>2022095</v>
      </c>
      <c r="B653" s="10"/>
      <c r="C653" s="10"/>
      <c r="D653" s="10"/>
      <c r="E653" s="10"/>
      <c r="F653" s="10"/>
      <c r="G653" s="10"/>
      <c r="H653" s="10"/>
      <c r="I653" s="10"/>
      <c r="J653" s="10"/>
      <c r="K653" s="22"/>
      <c r="L653" s="10"/>
      <c r="M653" s="236">
        <f t="shared" si="10"/>
        <v>2022095</v>
      </c>
    </row>
    <row r="654" spans="1:13" x14ac:dyDescent="0.3">
      <c r="A654" s="2">
        <v>2022096</v>
      </c>
      <c r="B654" s="10"/>
      <c r="C654" s="10"/>
      <c r="D654" s="10"/>
      <c r="E654" s="10"/>
      <c r="F654" s="10"/>
      <c r="G654" s="10"/>
      <c r="H654" s="10"/>
      <c r="I654" s="10"/>
      <c r="J654" s="10"/>
      <c r="K654" s="22"/>
      <c r="L654" s="10"/>
      <c r="M654" s="236">
        <f t="shared" si="10"/>
        <v>2022096</v>
      </c>
    </row>
    <row r="655" spans="1:13" x14ac:dyDescent="0.3">
      <c r="A655" s="2">
        <v>2022097</v>
      </c>
      <c r="B655" s="10"/>
      <c r="C655" s="10"/>
      <c r="D655" s="10"/>
      <c r="E655" s="10"/>
      <c r="F655" s="10"/>
      <c r="G655" s="10"/>
      <c r="H655" s="10"/>
      <c r="I655" s="10"/>
      <c r="J655" s="10"/>
      <c r="K655" s="22"/>
      <c r="L655" s="10"/>
      <c r="M655" s="236">
        <f t="shared" si="10"/>
        <v>2022097</v>
      </c>
    </row>
    <row r="656" spans="1:13" x14ac:dyDescent="0.3">
      <c r="A656" s="2">
        <v>2022098</v>
      </c>
      <c r="B656" s="10"/>
      <c r="C656" s="10"/>
      <c r="D656" s="10"/>
      <c r="E656" s="10"/>
      <c r="F656" s="10"/>
      <c r="G656" s="10"/>
      <c r="H656" s="10"/>
      <c r="I656" s="10"/>
      <c r="J656" s="10"/>
      <c r="K656" s="22"/>
      <c r="L656" s="10"/>
      <c r="M656" s="236">
        <f t="shared" si="10"/>
        <v>2022098</v>
      </c>
    </row>
    <row r="657" spans="1:13" x14ac:dyDescent="0.3">
      <c r="A657" s="2">
        <v>2022099</v>
      </c>
      <c r="B657" s="10"/>
      <c r="C657" s="10"/>
      <c r="D657" s="10"/>
      <c r="E657" s="10"/>
      <c r="F657" s="10"/>
      <c r="G657" s="10"/>
      <c r="H657" s="10"/>
      <c r="I657" s="10"/>
      <c r="J657" s="10"/>
      <c r="K657" s="22"/>
      <c r="L657" s="10"/>
      <c r="M657" s="236">
        <f t="shared" si="10"/>
        <v>2022099</v>
      </c>
    </row>
    <row r="658" spans="1:13" x14ac:dyDescent="0.3">
      <c r="A658" s="2">
        <v>2022100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22"/>
      <c r="L658" s="10"/>
      <c r="M658" s="236">
        <f t="shared" si="10"/>
        <v>2022100</v>
      </c>
    </row>
    <row r="659" spans="1:13" x14ac:dyDescent="0.3">
      <c r="A659" s="2">
        <v>2023001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22"/>
      <c r="L659" s="10"/>
      <c r="M659" s="236">
        <f t="shared" si="10"/>
        <v>2023001</v>
      </c>
    </row>
    <row r="660" spans="1:13" x14ac:dyDescent="0.3">
      <c r="A660" s="2">
        <v>2023002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22"/>
      <c r="L660" s="10"/>
      <c r="M660" s="236">
        <f t="shared" si="10"/>
        <v>2023002</v>
      </c>
    </row>
    <row r="661" spans="1:13" x14ac:dyDescent="0.3">
      <c r="A661" s="2">
        <v>2023003</v>
      </c>
      <c r="B661" s="10"/>
      <c r="C661" s="10"/>
      <c r="D661" s="10"/>
      <c r="E661" s="10"/>
      <c r="F661" s="10"/>
      <c r="G661" s="10"/>
      <c r="H661" s="10"/>
      <c r="I661" s="10"/>
      <c r="J661" s="10"/>
      <c r="K661" s="22"/>
      <c r="L661" s="10"/>
      <c r="M661" s="236">
        <f t="shared" si="10"/>
        <v>2023003</v>
      </c>
    </row>
    <row r="662" spans="1:13" x14ac:dyDescent="0.3">
      <c r="A662" s="2">
        <v>2023004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22"/>
      <c r="L662" s="10"/>
      <c r="M662" s="236">
        <f t="shared" si="10"/>
        <v>2023004</v>
      </c>
    </row>
    <row r="663" spans="1:13" x14ac:dyDescent="0.3">
      <c r="A663" s="2">
        <v>2023005</v>
      </c>
      <c r="B663" s="10"/>
      <c r="C663" s="10"/>
      <c r="D663" s="10"/>
      <c r="E663" s="10"/>
      <c r="F663" s="10"/>
      <c r="G663" s="10"/>
      <c r="H663" s="10"/>
      <c r="I663" s="10"/>
      <c r="J663" s="10"/>
      <c r="K663" s="22"/>
      <c r="L663" s="10"/>
      <c r="M663" s="236">
        <f t="shared" si="10"/>
        <v>2023005</v>
      </c>
    </row>
    <row r="664" spans="1:13" x14ac:dyDescent="0.3">
      <c r="A664" s="2">
        <v>2023006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22"/>
      <c r="L664" s="10"/>
      <c r="M664" s="236">
        <f t="shared" si="10"/>
        <v>2023006</v>
      </c>
    </row>
    <row r="665" spans="1:13" x14ac:dyDescent="0.3">
      <c r="A665" s="2">
        <v>2023007</v>
      </c>
      <c r="B665" s="10"/>
      <c r="C665" s="10"/>
      <c r="D665" s="10"/>
      <c r="E665" s="10"/>
      <c r="F665" s="10"/>
      <c r="G665" s="10"/>
      <c r="H665" s="10"/>
      <c r="I665" s="10"/>
      <c r="J665" s="10"/>
      <c r="K665" s="22"/>
      <c r="L665" s="10"/>
      <c r="M665" s="236">
        <f t="shared" si="10"/>
        <v>2023007</v>
      </c>
    </row>
    <row r="666" spans="1:13" x14ac:dyDescent="0.3">
      <c r="A666" s="2">
        <v>2023008</v>
      </c>
      <c r="B666" s="10"/>
      <c r="C666" s="10"/>
      <c r="D666" s="10"/>
      <c r="E666" s="10"/>
      <c r="F666" s="10"/>
      <c r="G666" s="10"/>
      <c r="H666" s="10"/>
      <c r="I666" s="10"/>
      <c r="J666" s="10"/>
      <c r="K666" s="22"/>
      <c r="L666" s="10"/>
      <c r="M666" s="236">
        <f t="shared" si="10"/>
        <v>2023008</v>
      </c>
    </row>
    <row r="667" spans="1:13" x14ac:dyDescent="0.3">
      <c r="A667" s="2">
        <v>2023009</v>
      </c>
      <c r="B667" s="10"/>
      <c r="C667" s="10"/>
      <c r="D667" s="10"/>
      <c r="E667" s="10"/>
      <c r="F667" s="10"/>
      <c r="G667" s="10"/>
      <c r="H667" s="10"/>
      <c r="I667" s="10"/>
      <c r="J667" s="10"/>
      <c r="K667" s="22"/>
      <c r="L667" s="10"/>
      <c r="M667" s="236">
        <f t="shared" si="10"/>
        <v>2023009</v>
      </c>
    </row>
    <row r="668" spans="1:13" x14ac:dyDescent="0.3">
      <c r="A668" s="2">
        <v>2023010</v>
      </c>
      <c r="B668" s="10"/>
      <c r="C668" s="10"/>
      <c r="D668" s="10"/>
      <c r="E668" s="10"/>
      <c r="F668" s="10"/>
      <c r="G668" s="10"/>
      <c r="H668" s="10"/>
      <c r="I668" s="10"/>
      <c r="J668" s="10"/>
      <c r="K668" s="22"/>
      <c r="L668" s="10"/>
      <c r="M668" s="236">
        <f t="shared" si="10"/>
        <v>2023010</v>
      </c>
    </row>
    <row r="669" spans="1:13" x14ac:dyDescent="0.3">
      <c r="A669" s="2">
        <v>2023011</v>
      </c>
      <c r="B669" s="10"/>
      <c r="C669" s="10"/>
      <c r="D669" s="10"/>
      <c r="E669" s="10"/>
      <c r="F669" s="10"/>
      <c r="G669" s="10"/>
      <c r="H669" s="10"/>
      <c r="I669" s="10"/>
      <c r="J669" s="10"/>
      <c r="K669" s="22"/>
      <c r="L669" s="10"/>
      <c r="M669" s="236">
        <f t="shared" si="10"/>
        <v>2023011</v>
      </c>
    </row>
    <row r="670" spans="1:13" x14ac:dyDescent="0.3">
      <c r="A670" s="2">
        <v>2023012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22"/>
      <c r="L670" s="10"/>
      <c r="M670" s="236">
        <f t="shared" si="10"/>
        <v>2023012</v>
      </c>
    </row>
    <row r="671" spans="1:13" x14ac:dyDescent="0.3">
      <c r="A671" s="2">
        <v>2023013</v>
      </c>
      <c r="B671" s="10"/>
      <c r="C671" s="10"/>
      <c r="D671" s="10"/>
      <c r="E671" s="10"/>
      <c r="F671" s="10"/>
      <c r="G671" s="10"/>
      <c r="H671" s="10"/>
      <c r="I671" s="10"/>
      <c r="J671" s="10"/>
      <c r="K671" s="22"/>
      <c r="L671" s="10"/>
      <c r="M671" s="236">
        <f t="shared" si="10"/>
        <v>2023013</v>
      </c>
    </row>
    <row r="672" spans="1:13" x14ac:dyDescent="0.3">
      <c r="A672" s="2">
        <v>2023014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22"/>
      <c r="L672" s="10"/>
      <c r="M672" s="236">
        <f t="shared" si="10"/>
        <v>2023014</v>
      </c>
    </row>
    <row r="673" spans="1:13" x14ac:dyDescent="0.3">
      <c r="A673" s="2">
        <v>2023015</v>
      </c>
      <c r="B673" s="10"/>
      <c r="C673" s="10"/>
      <c r="D673" s="10"/>
      <c r="E673" s="10"/>
      <c r="F673" s="10"/>
      <c r="G673" s="10"/>
      <c r="H673" s="10"/>
      <c r="I673" s="10"/>
      <c r="J673" s="10"/>
      <c r="K673" s="22"/>
      <c r="L673" s="10"/>
      <c r="M673" s="236">
        <f t="shared" si="10"/>
        <v>2023015</v>
      </c>
    </row>
    <row r="674" spans="1:13" x14ac:dyDescent="0.3">
      <c r="A674" s="2">
        <v>2023016</v>
      </c>
      <c r="B674" s="10"/>
      <c r="C674" s="10"/>
      <c r="D674" s="10"/>
      <c r="E674" s="10"/>
      <c r="F674" s="10"/>
      <c r="G674" s="10"/>
      <c r="H674" s="10"/>
      <c r="I674" s="10"/>
      <c r="J674" s="10"/>
      <c r="K674" s="22"/>
      <c r="L674" s="10"/>
      <c r="M674" s="236">
        <f t="shared" si="10"/>
        <v>2023016</v>
      </c>
    </row>
    <row r="675" spans="1:13" x14ac:dyDescent="0.3">
      <c r="A675" s="2">
        <v>2023017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22"/>
      <c r="L675" s="10"/>
      <c r="M675" s="236">
        <f t="shared" si="10"/>
        <v>2023017</v>
      </c>
    </row>
    <row r="676" spans="1:13" x14ac:dyDescent="0.3">
      <c r="A676" s="2">
        <v>2023018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22"/>
      <c r="L676" s="10"/>
      <c r="M676" s="236">
        <f t="shared" si="10"/>
        <v>2023018</v>
      </c>
    </row>
    <row r="677" spans="1:13" x14ac:dyDescent="0.3">
      <c r="A677" s="2">
        <v>2023019</v>
      </c>
      <c r="B677" s="10"/>
      <c r="C677" s="10"/>
      <c r="D677" s="10"/>
      <c r="E677" s="10"/>
      <c r="F677" s="10"/>
      <c r="G677" s="10"/>
      <c r="H677" s="10"/>
      <c r="I677" s="10"/>
      <c r="J677" s="10"/>
      <c r="K677" s="22"/>
      <c r="L677" s="10"/>
      <c r="M677" s="236">
        <f t="shared" si="10"/>
        <v>2023019</v>
      </c>
    </row>
    <row r="678" spans="1:13" x14ac:dyDescent="0.3">
      <c r="A678" s="2">
        <v>2023020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22"/>
      <c r="L678" s="10"/>
      <c r="M678" s="236">
        <f t="shared" si="10"/>
        <v>2023020</v>
      </c>
    </row>
    <row r="679" spans="1:13" x14ac:dyDescent="0.3">
      <c r="A679" s="2">
        <v>2023021</v>
      </c>
      <c r="B679" s="10"/>
      <c r="C679" s="10"/>
      <c r="D679" s="10"/>
      <c r="E679" s="10"/>
      <c r="F679" s="10"/>
      <c r="G679" s="10"/>
      <c r="H679" s="10"/>
      <c r="I679" s="10"/>
      <c r="J679" s="10"/>
      <c r="K679" s="22"/>
      <c r="L679" s="10"/>
      <c r="M679" s="236">
        <f t="shared" si="10"/>
        <v>2023021</v>
      </c>
    </row>
    <row r="680" spans="1:13" x14ac:dyDescent="0.3">
      <c r="A680" s="2">
        <v>2023022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22"/>
      <c r="L680" s="10"/>
      <c r="M680" s="236">
        <f t="shared" si="10"/>
        <v>2023022</v>
      </c>
    </row>
    <row r="681" spans="1:13" x14ac:dyDescent="0.3">
      <c r="A681" s="2">
        <v>2023023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22"/>
      <c r="L681" s="10"/>
      <c r="M681" s="236">
        <f t="shared" si="10"/>
        <v>2023023</v>
      </c>
    </row>
    <row r="682" spans="1:13" x14ac:dyDescent="0.3">
      <c r="A682" s="2">
        <v>2023024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22"/>
      <c r="L682" s="10"/>
      <c r="M682" s="236">
        <f t="shared" si="10"/>
        <v>2023024</v>
      </c>
    </row>
    <row r="683" spans="1:13" x14ac:dyDescent="0.3">
      <c r="A683" s="2">
        <v>2023025</v>
      </c>
      <c r="B683" s="10"/>
      <c r="C683" s="10"/>
      <c r="D683" s="10"/>
      <c r="E683" s="10"/>
      <c r="F683" s="10"/>
      <c r="G683" s="10"/>
      <c r="H683" s="10"/>
      <c r="I683" s="10"/>
      <c r="J683" s="10"/>
      <c r="K683" s="22"/>
      <c r="L683" s="10"/>
      <c r="M683" s="236">
        <f t="shared" si="10"/>
        <v>2023025</v>
      </c>
    </row>
    <row r="684" spans="1:13" x14ac:dyDescent="0.3">
      <c r="A684" s="2">
        <v>2023026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22"/>
      <c r="L684" s="10"/>
      <c r="M684" s="236">
        <f t="shared" si="10"/>
        <v>2023026</v>
      </c>
    </row>
    <row r="685" spans="1:13" x14ac:dyDescent="0.3">
      <c r="A685" s="2">
        <v>2023027</v>
      </c>
      <c r="B685" s="10"/>
      <c r="C685" s="10"/>
      <c r="D685" s="10"/>
      <c r="E685" s="10"/>
      <c r="F685" s="10"/>
      <c r="G685" s="10"/>
      <c r="H685" s="10"/>
      <c r="I685" s="10"/>
      <c r="J685" s="10"/>
      <c r="K685" s="22"/>
      <c r="L685" s="10"/>
      <c r="M685" s="236">
        <f t="shared" si="10"/>
        <v>2023027</v>
      </c>
    </row>
    <row r="686" spans="1:13" x14ac:dyDescent="0.3">
      <c r="A686" s="2">
        <v>2023028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22"/>
      <c r="L686" s="10"/>
      <c r="M686" s="236">
        <f t="shared" si="10"/>
        <v>2023028</v>
      </c>
    </row>
    <row r="687" spans="1:13" x14ac:dyDescent="0.3">
      <c r="A687" s="2">
        <v>2023029</v>
      </c>
      <c r="B687" s="10"/>
      <c r="C687" s="10"/>
      <c r="D687" s="10"/>
      <c r="E687" s="10"/>
      <c r="F687" s="10"/>
      <c r="G687" s="10"/>
      <c r="H687" s="10"/>
      <c r="I687" s="10"/>
      <c r="J687" s="10"/>
      <c r="K687" s="22"/>
      <c r="L687" s="10"/>
      <c r="M687" s="236">
        <f t="shared" si="10"/>
        <v>2023029</v>
      </c>
    </row>
    <row r="688" spans="1:13" x14ac:dyDescent="0.3">
      <c r="A688" s="2">
        <v>2023030</v>
      </c>
      <c r="B688" s="10"/>
      <c r="C688" s="10"/>
      <c r="D688" s="10"/>
      <c r="E688" s="10"/>
      <c r="F688" s="10"/>
      <c r="G688" s="10"/>
      <c r="H688" s="10"/>
      <c r="I688" s="10"/>
      <c r="J688" s="10"/>
      <c r="K688" s="22"/>
      <c r="L688" s="10"/>
      <c r="M688" s="236">
        <f t="shared" si="10"/>
        <v>2023030</v>
      </c>
    </row>
    <row r="689" spans="1:13" x14ac:dyDescent="0.3">
      <c r="A689" s="2">
        <v>2023031</v>
      </c>
      <c r="B689" s="10"/>
      <c r="C689" s="10"/>
      <c r="D689" s="10"/>
      <c r="E689" s="10"/>
      <c r="F689" s="10"/>
      <c r="G689" s="10"/>
      <c r="H689" s="10"/>
      <c r="I689" s="10"/>
      <c r="J689" s="10"/>
      <c r="K689" s="22"/>
      <c r="L689" s="10"/>
      <c r="M689" s="236">
        <f t="shared" si="10"/>
        <v>2023031</v>
      </c>
    </row>
    <row r="690" spans="1:13" x14ac:dyDescent="0.3">
      <c r="A690" s="2">
        <v>2023032</v>
      </c>
      <c r="B690" s="10"/>
      <c r="C690" s="10"/>
      <c r="D690" s="10"/>
      <c r="E690" s="10"/>
      <c r="F690" s="10"/>
      <c r="G690" s="10"/>
      <c r="H690" s="10"/>
      <c r="I690" s="10"/>
      <c r="J690" s="10"/>
      <c r="K690" s="22"/>
      <c r="L690" s="10"/>
      <c r="M690" s="236">
        <f t="shared" si="10"/>
        <v>2023032</v>
      </c>
    </row>
    <row r="691" spans="1:13" x14ac:dyDescent="0.3">
      <c r="A691" s="2">
        <v>2023033</v>
      </c>
      <c r="B691" s="10"/>
      <c r="C691" s="10"/>
      <c r="D691" s="10"/>
      <c r="E691" s="10"/>
      <c r="F691" s="10"/>
      <c r="G691" s="10"/>
      <c r="H691" s="10"/>
      <c r="I691" s="10"/>
      <c r="J691" s="10"/>
      <c r="K691" s="22"/>
      <c r="L691" s="10"/>
      <c r="M691" s="236">
        <f t="shared" si="10"/>
        <v>2023033</v>
      </c>
    </row>
    <row r="692" spans="1:13" x14ac:dyDescent="0.3">
      <c r="A692" s="2">
        <v>2023034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22"/>
      <c r="L692" s="10"/>
      <c r="M692" s="236">
        <f t="shared" si="10"/>
        <v>2023034</v>
      </c>
    </row>
    <row r="693" spans="1:13" x14ac:dyDescent="0.3">
      <c r="A693" s="2">
        <v>2023035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22"/>
      <c r="L693" s="10"/>
      <c r="M693" s="236">
        <f t="shared" si="10"/>
        <v>2023035</v>
      </c>
    </row>
    <row r="694" spans="1:13" x14ac:dyDescent="0.3">
      <c r="A694" s="2">
        <v>2023036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22"/>
      <c r="L694" s="10"/>
      <c r="M694" s="236">
        <f t="shared" si="10"/>
        <v>2023036</v>
      </c>
    </row>
    <row r="695" spans="1:13" x14ac:dyDescent="0.3">
      <c r="A695" s="2">
        <v>2023037</v>
      </c>
      <c r="B695" s="10"/>
      <c r="C695" s="10"/>
      <c r="D695" s="10"/>
      <c r="E695" s="10"/>
      <c r="F695" s="10"/>
      <c r="G695" s="10"/>
      <c r="H695" s="10"/>
      <c r="I695" s="10"/>
      <c r="J695" s="10"/>
      <c r="K695" s="22"/>
      <c r="L695" s="10"/>
      <c r="M695" s="236">
        <f t="shared" si="10"/>
        <v>2023037</v>
      </c>
    </row>
    <row r="696" spans="1:13" x14ac:dyDescent="0.3">
      <c r="A696" s="2">
        <v>2023038</v>
      </c>
      <c r="B696" s="10"/>
      <c r="C696" s="10"/>
      <c r="D696" s="10"/>
      <c r="E696" s="10"/>
      <c r="F696" s="10"/>
      <c r="G696" s="10"/>
      <c r="H696" s="10"/>
      <c r="I696" s="10"/>
      <c r="J696" s="10"/>
      <c r="K696" s="22"/>
      <c r="L696" s="10"/>
      <c r="M696" s="236">
        <f t="shared" si="10"/>
        <v>2023038</v>
      </c>
    </row>
    <row r="697" spans="1:13" x14ac:dyDescent="0.3">
      <c r="A697" s="2">
        <v>2023039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22"/>
      <c r="L697" s="10"/>
      <c r="M697" s="236">
        <f t="shared" si="10"/>
        <v>2023039</v>
      </c>
    </row>
    <row r="698" spans="1:13" x14ac:dyDescent="0.3">
      <c r="A698" s="2">
        <v>2023040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22"/>
      <c r="L698" s="10"/>
      <c r="M698" s="236">
        <f t="shared" si="10"/>
        <v>2023040</v>
      </c>
    </row>
    <row r="699" spans="1:13" x14ac:dyDescent="0.3">
      <c r="A699" s="2">
        <v>2023041</v>
      </c>
      <c r="B699" s="10"/>
      <c r="C699" s="10"/>
      <c r="D699" s="10"/>
      <c r="E699" s="10"/>
      <c r="F699" s="10"/>
      <c r="G699" s="10"/>
      <c r="H699" s="10"/>
      <c r="I699" s="10"/>
      <c r="J699" s="10"/>
      <c r="K699" s="22"/>
      <c r="L699" s="10"/>
      <c r="M699" s="236">
        <f t="shared" si="10"/>
        <v>2023041</v>
      </c>
    </row>
    <row r="700" spans="1:13" x14ac:dyDescent="0.3">
      <c r="A700" s="2">
        <v>2023042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22"/>
      <c r="L700" s="10"/>
      <c r="M700" s="236">
        <f t="shared" si="10"/>
        <v>2023042</v>
      </c>
    </row>
    <row r="701" spans="1:13" x14ac:dyDescent="0.3">
      <c r="A701" s="2">
        <v>2023043</v>
      </c>
      <c r="B701" s="10"/>
      <c r="C701" s="10"/>
      <c r="D701" s="10"/>
      <c r="E701" s="10"/>
      <c r="F701" s="10"/>
      <c r="G701" s="10"/>
      <c r="H701" s="10"/>
      <c r="I701" s="10"/>
      <c r="J701" s="10"/>
      <c r="K701" s="22"/>
      <c r="L701" s="10"/>
      <c r="M701" s="236">
        <f t="shared" si="10"/>
        <v>2023043</v>
      </c>
    </row>
    <row r="702" spans="1:13" x14ac:dyDescent="0.3">
      <c r="A702" s="2">
        <v>2023044</v>
      </c>
      <c r="B702" s="10"/>
      <c r="C702" s="10"/>
      <c r="D702" s="10"/>
      <c r="E702" s="10"/>
      <c r="F702" s="10"/>
      <c r="G702" s="10"/>
      <c r="H702" s="10"/>
      <c r="I702" s="10"/>
      <c r="J702" s="10"/>
      <c r="K702" s="22"/>
      <c r="L702" s="10"/>
      <c r="M702" s="236">
        <f t="shared" si="10"/>
        <v>2023044</v>
      </c>
    </row>
    <row r="703" spans="1:13" x14ac:dyDescent="0.3">
      <c r="A703" s="2">
        <v>2023045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22"/>
      <c r="L703" s="10"/>
      <c r="M703" s="236">
        <f t="shared" si="10"/>
        <v>2023045</v>
      </c>
    </row>
    <row r="704" spans="1:13" x14ac:dyDescent="0.3">
      <c r="A704" s="2">
        <v>2023046</v>
      </c>
      <c r="B704" s="10"/>
      <c r="C704" s="10"/>
      <c r="D704" s="10"/>
      <c r="E704" s="10"/>
      <c r="F704" s="10"/>
      <c r="G704" s="10"/>
      <c r="H704" s="10"/>
      <c r="I704" s="10"/>
      <c r="J704" s="10"/>
      <c r="K704" s="22"/>
      <c r="L704" s="10"/>
      <c r="M704" s="236">
        <f t="shared" si="10"/>
        <v>2023046</v>
      </c>
    </row>
    <row r="705" spans="1:13" x14ac:dyDescent="0.3">
      <c r="A705" s="2">
        <v>2023047</v>
      </c>
      <c r="B705" s="10"/>
      <c r="C705" s="10"/>
      <c r="D705" s="10"/>
      <c r="E705" s="10"/>
      <c r="F705" s="10"/>
      <c r="G705" s="10"/>
      <c r="H705" s="10"/>
      <c r="I705" s="10"/>
      <c r="J705" s="10"/>
      <c r="K705" s="22"/>
      <c r="L705" s="10"/>
      <c r="M705" s="236">
        <f t="shared" si="10"/>
        <v>2023047</v>
      </c>
    </row>
    <row r="706" spans="1:13" x14ac:dyDescent="0.3">
      <c r="A706" s="2">
        <v>2023048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22"/>
      <c r="L706" s="10"/>
      <c r="M706" s="236">
        <f t="shared" si="10"/>
        <v>2023048</v>
      </c>
    </row>
    <row r="707" spans="1:13" x14ac:dyDescent="0.3">
      <c r="A707" s="2">
        <v>2023049</v>
      </c>
      <c r="B707" s="10"/>
      <c r="C707" s="10"/>
      <c r="D707" s="10"/>
      <c r="E707" s="10"/>
      <c r="F707" s="10"/>
      <c r="G707" s="10"/>
      <c r="H707" s="10"/>
      <c r="I707" s="10"/>
      <c r="J707" s="10"/>
      <c r="K707" s="22"/>
      <c r="L707" s="10"/>
      <c r="M707" s="236">
        <f t="shared" ref="M707:M770" si="11">A707</f>
        <v>2023049</v>
      </c>
    </row>
    <row r="708" spans="1:13" x14ac:dyDescent="0.3">
      <c r="A708" s="2">
        <v>2023050</v>
      </c>
      <c r="B708" s="10"/>
      <c r="C708" s="10"/>
      <c r="D708" s="10"/>
      <c r="E708" s="10"/>
      <c r="F708" s="10"/>
      <c r="G708" s="10"/>
      <c r="H708" s="10"/>
      <c r="I708" s="10"/>
      <c r="J708" s="10"/>
      <c r="K708" s="22"/>
      <c r="L708" s="10"/>
      <c r="M708" s="236">
        <f t="shared" si="11"/>
        <v>2023050</v>
      </c>
    </row>
    <row r="709" spans="1:13" x14ac:dyDescent="0.3">
      <c r="A709" s="2">
        <v>2023051</v>
      </c>
      <c r="B709" s="10"/>
      <c r="C709" s="10"/>
      <c r="D709" s="10"/>
      <c r="E709" s="10"/>
      <c r="F709" s="10"/>
      <c r="G709" s="10"/>
      <c r="H709" s="10"/>
      <c r="I709" s="10"/>
      <c r="J709" s="10"/>
      <c r="K709" s="22"/>
      <c r="L709" s="10"/>
      <c r="M709" s="236">
        <f t="shared" si="11"/>
        <v>2023051</v>
      </c>
    </row>
    <row r="710" spans="1:13" x14ac:dyDescent="0.3">
      <c r="A710" s="2">
        <v>2023052</v>
      </c>
      <c r="B710" s="10"/>
      <c r="C710" s="10"/>
      <c r="D710" s="10"/>
      <c r="E710" s="10"/>
      <c r="F710" s="10"/>
      <c r="G710" s="10"/>
      <c r="H710" s="10"/>
      <c r="I710" s="10"/>
      <c r="J710" s="10"/>
      <c r="K710" s="22"/>
      <c r="L710" s="10"/>
      <c r="M710" s="236">
        <f t="shared" si="11"/>
        <v>2023052</v>
      </c>
    </row>
    <row r="711" spans="1:13" x14ac:dyDescent="0.3">
      <c r="A711" s="2">
        <v>2023053</v>
      </c>
      <c r="B711" s="10"/>
      <c r="C711" s="10"/>
      <c r="D711" s="10"/>
      <c r="E711" s="10"/>
      <c r="F711" s="10"/>
      <c r="G711" s="10"/>
      <c r="H711" s="10"/>
      <c r="I711" s="10"/>
      <c r="J711" s="10"/>
      <c r="K711" s="22"/>
      <c r="L711" s="10"/>
      <c r="M711" s="236">
        <f t="shared" si="11"/>
        <v>2023053</v>
      </c>
    </row>
    <row r="712" spans="1:13" x14ac:dyDescent="0.3">
      <c r="A712" s="2">
        <v>2023054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22"/>
      <c r="L712" s="10"/>
      <c r="M712" s="236">
        <f t="shared" si="11"/>
        <v>2023054</v>
      </c>
    </row>
    <row r="713" spans="1:13" x14ac:dyDescent="0.3">
      <c r="A713" s="2">
        <v>2023055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22"/>
      <c r="L713" s="10"/>
      <c r="M713" s="236">
        <f t="shared" si="11"/>
        <v>2023055</v>
      </c>
    </row>
    <row r="714" spans="1:13" x14ac:dyDescent="0.3">
      <c r="A714" s="2">
        <v>2023056</v>
      </c>
      <c r="B714" s="10"/>
      <c r="C714" s="10"/>
      <c r="D714" s="10"/>
      <c r="E714" s="10"/>
      <c r="F714" s="10"/>
      <c r="G714" s="10"/>
      <c r="H714" s="10"/>
      <c r="I714" s="10"/>
      <c r="J714" s="10"/>
      <c r="K714" s="22"/>
      <c r="L714" s="10"/>
      <c r="M714" s="236">
        <f t="shared" si="11"/>
        <v>2023056</v>
      </c>
    </row>
    <row r="715" spans="1:13" x14ac:dyDescent="0.3">
      <c r="A715" s="2">
        <v>2023057</v>
      </c>
      <c r="B715" s="10"/>
      <c r="C715" s="10"/>
      <c r="D715" s="10"/>
      <c r="E715" s="10"/>
      <c r="F715" s="10"/>
      <c r="G715" s="10"/>
      <c r="H715" s="10"/>
      <c r="I715" s="10"/>
      <c r="J715" s="10"/>
      <c r="K715" s="22"/>
      <c r="L715" s="10"/>
      <c r="M715" s="236">
        <f t="shared" si="11"/>
        <v>2023057</v>
      </c>
    </row>
    <row r="716" spans="1:13" x14ac:dyDescent="0.3">
      <c r="A716" s="2">
        <v>2023058</v>
      </c>
      <c r="B716" s="10"/>
      <c r="C716" s="10"/>
      <c r="D716" s="10"/>
      <c r="E716" s="10"/>
      <c r="F716" s="10"/>
      <c r="G716" s="10"/>
      <c r="H716" s="10"/>
      <c r="I716" s="10"/>
      <c r="J716" s="10"/>
      <c r="K716" s="22"/>
      <c r="L716" s="10"/>
      <c r="M716" s="236">
        <f t="shared" si="11"/>
        <v>2023058</v>
      </c>
    </row>
    <row r="717" spans="1:13" x14ac:dyDescent="0.3">
      <c r="A717" s="2">
        <v>2023059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22"/>
      <c r="L717" s="10"/>
      <c r="M717" s="236">
        <f t="shared" si="11"/>
        <v>2023059</v>
      </c>
    </row>
    <row r="718" spans="1:13" x14ac:dyDescent="0.3">
      <c r="A718" s="2">
        <v>2023060</v>
      </c>
      <c r="B718" s="10"/>
      <c r="C718" s="10"/>
      <c r="D718" s="10"/>
      <c r="E718" s="10"/>
      <c r="F718" s="10"/>
      <c r="G718" s="10"/>
      <c r="H718" s="10"/>
      <c r="I718" s="10"/>
      <c r="J718" s="10"/>
      <c r="K718" s="22"/>
      <c r="L718" s="10"/>
      <c r="M718" s="236">
        <f t="shared" si="11"/>
        <v>2023060</v>
      </c>
    </row>
    <row r="719" spans="1:13" x14ac:dyDescent="0.3">
      <c r="A719" s="2">
        <v>2023061</v>
      </c>
      <c r="B719" s="10"/>
      <c r="C719" s="10"/>
      <c r="D719" s="10"/>
      <c r="E719" s="10"/>
      <c r="F719" s="10"/>
      <c r="G719" s="10"/>
      <c r="H719" s="10"/>
      <c r="I719" s="10"/>
      <c r="J719" s="10"/>
      <c r="K719" s="22"/>
      <c r="L719" s="10"/>
      <c r="M719" s="236">
        <f t="shared" si="11"/>
        <v>2023061</v>
      </c>
    </row>
    <row r="720" spans="1:13" x14ac:dyDescent="0.3">
      <c r="A720" s="2">
        <v>2023062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22"/>
      <c r="L720" s="10"/>
      <c r="M720" s="236">
        <f t="shared" si="11"/>
        <v>2023062</v>
      </c>
    </row>
    <row r="721" spans="1:13" x14ac:dyDescent="0.3">
      <c r="A721" s="2">
        <v>2023063</v>
      </c>
      <c r="B721" s="10"/>
      <c r="C721" s="10"/>
      <c r="D721" s="10"/>
      <c r="E721" s="10"/>
      <c r="F721" s="10"/>
      <c r="G721" s="10"/>
      <c r="H721" s="10"/>
      <c r="I721" s="10"/>
      <c r="J721" s="10"/>
      <c r="K721" s="22"/>
      <c r="L721" s="10"/>
      <c r="M721" s="236">
        <f t="shared" si="11"/>
        <v>2023063</v>
      </c>
    </row>
    <row r="722" spans="1:13" x14ac:dyDescent="0.3">
      <c r="A722" s="2">
        <v>2023064</v>
      </c>
      <c r="B722" s="10"/>
      <c r="C722" s="10"/>
      <c r="D722" s="10"/>
      <c r="E722" s="10"/>
      <c r="F722" s="10"/>
      <c r="G722" s="10"/>
      <c r="H722" s="10"/>
      <c r="I722" s="10"/>
      <c r="J722" s="10"/>
      <c r="K722" s="22"/>
      <c r="L722" s="10"/>
      <c r="M722" s="236">
        <f t="shared" si="11"/>
        <v>2023064</v>
      </c>
    </row>
    <row r="723" spans="1:13" x14ac:dyDescent="0.3">
      <c r="A723" s="2">
        <v>2023065</v>
      </c>
      <c r="B723" s="10"/>
      <c r="C723" s="10"/>
      <c r="D723" s="10"/>
      <c r="E723" s="10"/>
      <c r="F723" s="10"/>
      <c r="G723" s="10"/>
      <c r="H723" s="10"/>
      <c r="I723" s="10"/>
      <c r="J723" s="10"/>
      <c r="K723" s="22"/>
      <c r="L723" s="10"/>
      <c r="M723" s="236">
        <f t="shared" si="11"/>
        <v>2023065</v>
      </c>
    </row>
    <row r="724" spans="1:13" x14ac:dyDescent="0.3">
      <c r="A724" s="2">
        <v>2023066</v>
      </c>
      <c r="B724" s="10"/>
      <c r="C724" s="10"/>
      <c r="D724" s="10"/>
      <c r="E724" s="10"/>
      <c r="F724" s="10"/>
      <c r="G724" s="10"/>
      <c r="H724" s="10"/>
      <c r="I724" s="10"/>
      <c r="J724" s="10"/>
      <c r="K724" s="22"/>
      <c r="L724" s="10"/>
      <c r="M724" s="236">
        <f t="shared" si="11"/>
        <v>2023066</v>
      </c>
    </row>
    <row r="725" spans="1:13" x14ac:dyDescent="0.3">
      <c r="A725" s="2">
        <v>2023067</v>
      </c>
      <c r="B725" s="10"/>
      <c r="C725" s="10"/>
      <c r="D725" s="10"/>
      <c r="E725" s="10"/>
      <c r="F725" s="10"/>
      <c r="G725" s="10"/>
      <c r="H725" s="10"/>
      <c r="I725" s="10"/>
      <c r="J725" s="10"/>
      <c r="K725" s="22"/>
      <c r="L725" s="10"/>
      <c r="M725" s="236">
        <f t="shared" si="11"/>
        <v>2023067</v>
      </c>
    </row>
    <row r="726" spans="1:13" x14ac:dyDescent="0.3">
      <c r="A726" s="2">
        <v>2023068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22"/>
      <c r="L726" s="10"/>
      <c r="M726" s="236">
        <f t="shared" si="11"/>
        <v>2023068</v>
      </c>
    </row>
    <row r="727" spans="1:13" x14ac:dyDescent="0.3">
      <c r="A727" s="2">
        <v>2023069</v>
      </c>
      <c r="B727" s="10"/>
      <c r="C727" s="10"/>
      <c r="D727" s="10"/>
      <c r="E727" s="10"/>
      <c r="F727" s="10"/>
      <c r="G727" s="10"/>
      <c r="H727" s="10"/>
      <c r="I727" s="10"/>
      <c r="J727" s="10"/>
      <c r="K727" s="22"/>
      <c r="L727" s="10"/>
      <c r="M727" s="236">
        <f t="shared" si="11"/>
        <v>2023069</v>
      </c>
    </row>
    <row r="728" spans="1:13" x14ac:dyDescent="0.3">
      <c r="A728" s="2">
        <v>2023070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22"/>
      <c r="L728" s="10"/>
      <c r="M728" s="236">
        <f t="shared" si="11"/>
        <v>2023070</v>
      </c>
    </row>
    <row r="729" spans="1:13" x14ac:dyDescent="0.3">
      <c r="A729" s="2">
        <v>2023071</v>
      </c>
      <c r="B729" s="10"/>
      <c r="C729" s="10"/>
      <c r="D729" s="10"/>
      <c r="E729" s="10"/>
      <c r="F729" s="10"/>
      <c r="G729" s="10"/>
      <c r="H729" s="10"/>
      <c r="I729" s="10"/>
      <c r="J729" s="10"/>
      <c r="K729" s="22"/>
      <c r="L729" s="10"/>
      <c r="M729" s="236">
        <f t="shared" si="11"/>
        <v>2023071</v>
      </c>
    </row>
    <row r="730" spans="1:13" x14ac:dyDescent="0.3">
      <c r="A730" s="2">
        <v>2023072</v>
      </c>
      <c r="B730" s="10"/>
      <c r="C730" s="10"/>
      <c r="D730" s="10"/>
      <c r="E730" s="10"/>
      <c r="F730" s="10"/>
      <c r="G730" s="10"/>
      <c r="H730" s="10"/>
      <c r="I730" s="10"/>
      <c r="J730" s="10"/>
      <c r="K730" s="22"/>
      <c r="L730" s="10"/>
      <c r="M730" s="236">
        <f t="shared" si="11"/>
        <v>2023072</v>
      </c>
    </row>
    <row r="731" spans="1:13" x14ac:dyDescent="0.3">
      <c r="A731" s="2">
        <v>2023073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22"/>
      <c r="L731" s="10"/>
      <c r="M731" s="236">
        <f t="shared" si="11"/>
        <v>2023073</v>
      </c>
    </row>
    <row r="732" spans="1:13" x14ac:dyDescent="0.3">
      <c r="A732" s="2">
        <v>2023074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22"/>
      <c r="L732" s="10"/>
      <c r="M732" s="236">
        <f t="shared" si="11"/>
        <v>2023074</v>
      </c>
    </row>
    <row r="733" spans="1:13" x14ac:dyDescent="0.3">
      <c r="A733" s="2">
        <v>2023075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22"/>
      <c r="L733" s="10"/>
      <c r="M733" s="236">
        <f t="shared" si="11"/>
        <v>2023075</v>
      </c>
    </row>
    <row r="734" spans="1:13" x14ac:dyDescent="0.3">
      <c r="A734" s="2">
        <v>2023076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22"/>
      <c r="L734" s="10"/>
      <c r="M734" s="236">
        <f t="shared" si="11"/>
        <v>2023076</v>
      </c>
    </row>
    <row r="735" spans="1:13" x14ac:dyDescent="0.3">
      <c r="A735" s="2">
        <v>2023077</v>
      </c>
      <c r="B735" s="10"/>
      <c r="C735" s="10"/>
      <c r="D735" s="10"/>
      <c r="E735" s="10"/>
      <c r="F735" s="10"/>
      <c r="G735" s="10"/>
      <c r="H735" s="10"/>
      <c r="I735" s="10"/>
      <c r="J735" s="10"/>
      <c r="K735" s="22"/>
      <c r="L735" s="10"/>
      <c r="M735" s="236">
        <f t="shared" si="11"/>
        <v>2023077</v>
      </c>
    </row>
    <row r="736" spans="1:13" x14ac:dyDescent="0.3">
      <c r="A736" s="2">
        <v>2023078</v>
      </c>
      <c r="B736" s="10"/>
      <c r="C736" s="10"/>
      <c r="D736" s="10"/>
      <c r="E736" s="10"/>
      <c r="F736" s="10"/>
      <c r="G736" s="10"/>
      <c r="H736" s="10"/>
      <c r="I736" s="10"/>
      <c r="J736" s="10"/>
      <c r="K736" s="22"/>
      <c r="L736" s="10"/>
      <c r="M736" s="236">
        <f t="shared" si="11"/>
        <v>2023078</v>
      </c>
    </row>
    <row r="737" spans="1:13" x14ac:dyDescent="0.3">
      <c r="A737" s="2">
        <v>2023079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22"/>
      <c r="L737" s="10"/>
      <c r="M737" s="236">
        <f t="shared" si="11"/>
        <v>2023079</v>
      </c>
    </row>
    <row r="738" spans="1:13" x14ac:dyDescent="0.3">
      <c r="A738" s="2">
        <v>2023080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22"/>
      <c r="L738" s="10"/>
      <c r="M738" s="236">
        <f t="shared" si="11"/>
        <v>2023080</v>
      </c>
    </row>
    <row r="739" spans="1:13" x14ac:dyDescent="0.3">
      <c r="A739" s="2">
        <v>2023081</v>
      </c>
      <c r="B739" s="10"/>
      <c r="C739" s="10"/>
      <c r="D739" s="10"/>
      <c r="E739" s="10"/>
      <c r="F739" s="10"/>
      <c r="G739" s="10"/>
      <c r="H739" s="10"/>
      <c r="I739" s="10"/>
      <c r="J739" s="10"/>
      <c r="K739" s="22"/>
      <c r="L739" s="10"/>
      <c r="M739" s="236">
        <f t="shared" si="11"/>
        <v>2023081</v>
      </c>
    </row>
    <row r="740" spans="1:13" x14ac:dyDescent="0.3">
      <c r="A740" s="2">
        <v>2023082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22"/>
      <c r="L740" s="10"/>
      <c r="M740" s="236">
        <f t="shared" si="11"/>
        <v>2023082</v>
      </c>
    </row>
    <row r="741" spans="1:13" x14ac:dyDescent="0.3">
      <c r="A741" s="2">
        <v>2023083</v>
      </c>
      <c r="B741" s="10"/>
      <c r="C741" s="10"/>
      <c r="D741" s="10"/>
      <c r="E741" s="10"/>
      <c r="F741" s="10"/>
      <c r="G741" s="10"/>
      <c r="H741" s="10"/>
      <c r="I741" s="10"/>
      <c r="J741" s="10"/>
      <c r="K741" s="22"/>
      <c r="L741" s="10"/>
      <c r="M741" s="236">
        <f t="shared" si="11"/>
        <v>2023083</v>
      </c>
    </row>
    <row r="742" spans="1:13" x14ac:dyDescent="0.3">
      <c r="A742" s="2">
        <v>2023084</v>
      </c>
      <c r="B742" s="10"/>
      <c r="C742" s="10"/>
      <c r="D742" s="10"/>
      <c r="E742" s="10"/>
      <c r="F742" s="10"/>
      <c r="G742" s="10"/>
      <c r="H742" s="10"/>
      <c r="I742" s="10"/>
      <c r="J742" s="10"/>
      <c r="K742" s="22"/>
      <c r="L742" s="10"/>
      <c r="M742" s="236">
        <f t="shared" si="11"/>
        <v>2023084</v>
      </c>
    </row>
    <row r="743" spans="1:13" x14ac:dyDescent="0.3">
      <c r="A743" s="2">
        <v>2023085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22"/>
      <c r="L743" s="10"/>
      <c r="M743" s="236">
        <f t="shared" si="11"/>
        <v>2023085</v>
      </c>
    </row>
    <row r="744" spans="1:13" x14ac:dyDescent="0.3">
      <c r="A744" s="2">
        <v>2023086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22"/>
      <c r="L744" s="10"/>
      <c r="M744" s="236">
        <f t="shared" si="11"/>
        <v>2023086</v>
      </c>
    </row>
    <row r="745" spans="1:13" x14ac:dyDescent="0.3">
      <c r="A745" s="2">
        <v>2023087</v>
      </c>
      <c r="B745" s="10"/>
      <c r="C745" s="10"/>
      <c r="D745" s="10"/>
      <c r="E745" s="10"/>
      <c r="F745" s="10"/>
      <c r="G745" s="10"/>
      <c r="H745" s="10"/>
      <c r="I745" s="10"/>
      <c r="J745" s="10"/>
      <c r="K745" s="22"/>
      <c r="L745" s="10"/>
      <c r="M745" s="236">
        <f t="shared" si="11"/>
        <v>2023087</v>
      </c>
    </row>
    <row r="746" spans="1:13" x14ac:dyDescent="0.3">
      <c r="A746" s="2">
        <v>2023088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22"/>
      <c r="L746" s="10"/>
      <c r="M746" s="236">
        <f t="shared" si="11"/>
        <v>2023088</v>
      </c>
    </row>
    <row r="747" spans="1:13" x14ac:dyDescent="0.3">
      <c r="A747" s="2">
        <v>2023089</v>
      </c>
      <c r="B747" s="10"/>
      <c r="C747" s="10"/>
      <c r="D747" s="10"/>
      <c r="E747" s="10"/>
      <c r="F747" s="10"/>
      <c r="G747" s="10"/>
      <c r="H747" s="10"/>
      <c r="I747" s="10"/>
      <c r="J747" s="10"/>
      <c r="K747" s="22"/>
      <c r="L747" s="10"/>
      <c r="M747" s="236">
        <f t="shared" si="11"/>
        <v>2023089</v>
      </c>
    </row>
    <row r="748" spans="1:13" x14ac:dyDescent="0.3">
      <c r="A748" s="2">
        <v>2023090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22"/>
      <c r="L748" s="10"/>
      <c r="M748" s="236">
        <f t="shared" si="11"/>
        <v>2023090</v>
      </c>
    </row>
    <row r="749" spans="1:13" x14ac:dyDescent="0.3">
      <c r="A749" s="2">
        <v>2023091</v>
      </c>
      <c r="B749" s="10"/>
      <c r="C749" s="10"/>
      <c r="D749" s="10"/>
      <c r="E749" s="10"/>
      <c r="F749" s="10"/>
      <c r="G749" s="10"/>
      <c r="H749" s="10"/>
      <c r="I749" s="10"/>
      <c r="J749" s="10"/>
      <c r="K749" s="22"/>
      <c r="L749" s="10"/>
      <c r="M749" s="236">
        <f t="shared" si="11"/>
        <v>2023091</v>
      </c>
    </row>
    <row r="750" spans="1:13" x14ac:dyDescent="0.3">
      <c r="A750" s="2">
        <v>2023092</v>
      </c>
      <c r="B750" s="10"/>
      <c r="C750" s="10"/>
      <c r="D750" s="10"/>
      <c r="E750" s="10"/>
      <c r="F750" s="10"/>
      <c r="G750" s="10"/>
      <c r="H750" s="10"/>
      <c r="I750" s="10"/>
      <c r="J750" s="10"/>
      <c r="K750" s="22"/>
      <c r="L750" s="10"/>
      <c r="M750" s="236">
        <f t="shared" si="11"/>
        <v>2023092</v>
      </c>
    </row>
    <row r="751" spans="1:13" x14ac:dyDescent="0.3">
      <c r="A751" s="2">
        <v>2023093</v>
      </c>
      <c r="B751" s="10"/>
      <c r="C751" s="10"/>
      <c r="D751" s="10"/>
      <c r="E751" s="10"/>
      <c r="F751" s="10"/>
      <c r="G751" s="10"/>
      <c r="H751" s="10"/>
      <c r="I751" s="10"/>
      <c r="J751" s="10"/>
      <c r="K751" s="22"/>
      <c r="L751" s="10"/>
      <c r="M751" s="236">
        <f t="shared" si="11"/>
        <v>2023093</v>
      </c>
    </row>
    <row r="752" spans="1:13" x14ac:dyDescent="0.3">
      <c r="A752" s="2">
        <v>2023094</v>
      </c>
      <c r="B752" s="10"/>
      <c r="C752" s="10"/>
      <c r="D752" s="10"/>
      <c r="E752" s="10"/>
      <c r="F752" s="10"/>
      <c r="G752" s="10"/>
      <c r="H752" s="10"/>
      <c r="I752" s="10"/>
      <c r="J752" s="10"/>
      <c r="K752" s="22"/>
      <c r="L752" s="10"/>
      <c r="M752" s="236">
        <f t="shared" si="11"/>
        <v>2023094</v>
      </c>
    </row>
    <row r="753" spans="1:13" x14ac:dyDescent="0.3">
      <c r="A753" s="2">
        <v>2023095</v>
      </c>
      <c r="B753" s="10"/>
      <c r="C753" s="10"/>
      <c r="D753" s="10"/>
      <c r="E753" s="10"/>
      <c r="F753" s="10"/>
      <c r="G753" s="10"/>
      <c r="H753" s="10"/>
      <c r="I753" s="10"/>
      <c r="J753" s="10"/>
      <c r="K753" s="22"/>
      <c r="L753" s="10"/>
      <c r="M753" s="236">
        <f t="shared" si="11"/>
        <v>2023095</v>
      </c>
    </row>
    <row r="754" spans="1:13" x14ac:dyDescent="0.3">
      <c r="A754" s="2">
        <v>2023096</v>
      </c>
      <c r="B754" s="10"/>
      <c r="C754" s="10"/>
      <c r="D754" s="10"/>
      <c r="E754" s="10"/>
      <c r="F754" s="10"/>
      <c r="G754" s="10"/>
      <c r="H754" s="10"/>
      <c r="I754" s="10"/>
      <c r="J754" s="10"/>
      <c r="K754" s="22"/>
      <c r="L754" s="10"/>
      <c r="M754" s="236">
        <f t="shared" si="11"/>
        <v>2023096</v>
      </c>
    </row>
    <row r="755" spans="1:13" x14ac:dyDescent="0.3">
      <c r="A755" s="2">
        <v>2023097</v>
      </c>
      <c r="B755" s="10"/>
      <c r="C755" s="10"/>
      <c r="D755" s="10"/>
      <c r="E755" s="10"/>
      <c r="F755" s="10"/>
      <c r="G755" s="10"/>
      <c r="H755" s="10"/>
      <c r="I755" s="10"/>
      <c r="J755" s="10"/>
      <c r="K755" s="22"/>
      <c r="L755" s="10"/>
      <c r="M755" s="236">
        <f t="shared" si="11"/>
        <v>2023097</v>
      </c>
    </row>
    <row r="756" spans="1:13" x14ac:dyDescent="0.3">
      <c r="A756" s="2">
        <v>2023098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22"/>
      <c r="L756" s="10"/>
      <c r="M756" s="236">
        <f t="shared" si="11"/>
        <v>2023098</v>
      </c>
    </row>
    <row r="757" spans="1:13" x14ac:dyDescent="0.3">
      <c r="A757" s="2">
        <v>2023099</v>
      </c>
      <c r="B757" s="10"/>
      <c r="C757" s="10"/>
      <c r="D757" s="10"/>
      <c r="E757" s="10"/>
      <c r="F757" s="10"/>
      <c r="G757" s="10"/>
      <c r="H757" s="10"/>
      <c r="I757" s="10"/>
      <c r="J757" s="10"/>
      <c r="K757" s="22"/>
      <c r="L757" s="10"/>
      <c r="M757" s="236">
        <f t="shared" si="11"/>
        <v>2023099</v>
      </c>
    </row>
    <row r="758" spans="1:13" x14ac:dyDescent="0.3">
      <c r="A758" s="2">
        <v>2023100</v>
      </c>
      <c r="B758" s="10"/>
      <c r="C758" s="10"/>
      <c r="D758" s="10"/>
      <c r="E758" s="10"/>
      <c r="F758" s="10"/>
      <c r="G758" s="10"/>
      <c r="H758" s="10"/>
      <c r="I758" s="10"/>
      <c r="J758" s="10"/>
      <c r="K758" s="22"/>
      <c r="L758" s="10"/>
      <c r="M758" s="236">
        <f t="shared" si="11"/>
        <v>2023100</v>
      </c>
    </row>
    <row r="759" spans="1:13" x14ac:dyDescent="0.3">
      <c r="A759" s="2">
        <v>2024001</v>
      </c>
      <c r="B759" s="10"/>
      <c r="C759" s="10"/>
      <c r="D759" s="10"/>
      <c r="E759" s="10"/>
      <c r="F759" s="10"/>
      <c r="G759" s="10"/>
      <c r="H759" s="10"/>
      <c r="I759" s="10"/>
      <c r="J759" s="10"/>
      <c r="K759" s="22"/>
      <c r="L759" s="10"/>
      <c r="M759" s="236">
        <f t="shared" si="11"/>
        <v>2024001</v>
      </c>
    </row>
    <row r="760" spans="1:13" x14ac:dyDescent="0.3">
      <c r="A760" s="2">
        <v>2024002</v>
      </c>
      <c r="B760" s="10"/>
      <c r="C760" s="10"/>
      <c r="D760" s="10"/>
      <c r="E760" s="10"/>
      <c r="F760" s="10"/>
      <c r="G760" s="10"/>
      <c r="H760" s="10"/>
      <c r="I760" s="10"/>
      <c r="J760" s="10"/>
      <c r="K760" s="22"/>
      <c r="L760" s="10"/>
      <c r="M760" s="236">
        <f t="shared" si="11"/>
        <v>2024002</v>
      </c>
    </row>
    <row r="761" spans="1:13" x14ac:dyDescent="0.3">
      <c r="A761" s="2">
        <v>2024003</v>
      </c>
      <c r="B761" s="10"/>
      <c r="C761" s="10"/>
      <c r="D761" s="10"/>
      <c r="E761" s="10"/>
      <c r="F761" s="10"/>
      <c r="G761" s="10"/>
      <c r="H761" s="10"/>
      <c r="I761" s="10"/>
      <c r="J761" s="10"/>
      <c r="K761" s="22"/>
      <c r="L761" s="10"/>
      <c r="M761" s="236">
        <f t="shared" si="11"/>
        <v>2024003</v>
      </c>
    </row>
    <row r="762" spans="1:13" x14ac:dyDescent="0.3">
      <c r="A762" s="2">
        <v>2024004</v>
      </c>
      <c r="B762" s="10"/>
      <c r="C762" s="10"/>
      <c r="D762" s="10"/>
      <c r="E762" s="10"/>
      <c r="F762" s="10"/>
      <c r="G762" s="10"/>
      <c r="H762" s="10"/>
      <c r="I762" s="10"/>
      <c r="J762" s="10"/>
      <c r="K762" s="22"/>
      <c r="L762" s="10"/>
      <c r="M762" s="236">
        <f t="shared" si="11"/>
        <v>2024004</v>
      </c>
    </row>
    <row r="763" spans="1:13" x14ac:dyDescent="0.3">
      <c r="A763" s="2">
        <v>2024005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22"/>
      <c r="L763" s="10"/>
      <c r="M763" s="236">
        <f t="shared" si="11"/>
        <v>2024005</v>
      </c>
    </row>
    <row r="764" spans="1:13" x14ac:dyDescent="0.3">
      <c r="A764" s="2">
        <v>2024006</v>
      </c>
      <c r="B764" s="10"/>
      <c r="C764" s="10"/>
      <c r="D764" s="10"/>
      <c r="E764" s="10"/>
      <c r="F764" s="10"/>
      <c r="G764" s="10"/>
      <c r="H764" s="10"/>
      <c r="I764" s="10"/>
      <c r="J764" s="10"/>
      <c r="K764" s="22"/>
      <c r="L764" s="10"/>
      <c r="M764" s="236">
        <f t="shared" si="11"/>
        <v>2024006</v>
      </c>
    </row>
    <row r="765" spans="1:13" x14ac:dyDescent="0.3">
      <c r="A765" s="2">
        <v>2024007</v>
      </c>
      <c r="B765" s="10"/>
      <c r="C765" s="10"/>
      <c r="D765" s="10"/>
      <c r="E765" s="10"/>
      <c r="F765" s="10"/>
      <c r="G765" s="10"/>
      <c r="H765" s="10"/>
      <c r="I765" s="10"/>
      <c r="J765" s="10"/>
      <c r="K765" s="22"/>
      <c r="L765" s="10"/>
      <c r="M765" s="236">
        <f t="shared" si="11"/>
        <v>2024007</v>
      </c>
    </row>
    <row r="766" spans="1:13" x14ac:dyDescent="0.3">
      <c r="A766" s="2">
        <v>2024008</v>
      </c>
      <c r="B766" s="10"/>
      <c r="C766" s="10"/>
      <c r="D766" s="10"/>
      <c r="E766" s="10"/>
      <c r="F766" s="10"/>
      <c r="G766" s="10"/>
      <c r="H766" s="10"/>
      <c r="I766" s="10"/>
      <c r="J766" s="10"/>
      <c r="K766" s="22"/>
      <c r="L766" s="10"/>
      <c r="M766" s="236">
        <f t="shared" si="11"/>
        <v>2024008</v>
      </c>
    </row>
    <row r="767" spans="1:13" x14ac:dyDescent="0.3">
      <c r="A767" s="2">
        <v>2024009</v>
      </c>
      <c r="B767" s="10"/>
      <c r="C767" s="10"/>
      <c r="D767" s="10"/>
      <c r="E767" s="10"/>
      <c r="F767" s="10"/>
      <c r="G767" s="10"/>
      <c r="H767" s="10"/>
      <c r="I767" s="10"/>
      <c r="J767" s="10"/>
      <c r="K767" s="22"/>
      <c r="L767" s="10"/>
      <c r="M767" s="236">
        <f t="shared" si="11"/>
        <v>2024009</v>
      </c>
    </row>
    <row r="768" spans="1:13" x14ac:dyDescent="0.3">
      <c r="A768" s="2">
        <v>2024010</v>
      </c>
      <c r="B768" s="10"/>
      <c r="C768" s="10"/>
      <c r="D768" s="10"/>
      <c r="E768" s="10"/>
      <c r="F768" s="10"/>
      <c r="G768" s="10"/>
      <c r="H768" s="10"/>
      <c r="I768" s="10"/>
      <c r="J768" s="10"/>
      <c r="K768" s="22"/>
      <c r="L768" s="10"/>
      <c r="M768" s="236">
        <f t="shared" si="11"/>
        <v>2024010</v>
      </c>
    </row>
    <row r="769" spans="1:13" x14ac:dyDescent="0.3">
      <c r="A769" s="2">
        <v>2024011</v>
      </c>
      <c r="B769" s="10"/>
      <c r="C769" s="10"/>
      <c r="D769" s="10"/>
      <c r="E769" s="10"/>
      <c r="F769" s="10"/>
      <c r="G769" s="10"/>
      <c r="H769" s="10"/>
      <c r="I769" s="10"/>
      <c r="J769" s="10"/>
      <c r="K769" s="22"/>
      <c r="L769" s="10"/>
      <c r="M769" s="236">
        <f t="shared" si="11"/>
        <v>2024011</v>
      </c>
    </row>
    <row r="770" spans="1:13" x14ac:dyDescent="0.3">
      <c r="A770" s="2">
        <v>2024012</v>
      </c>
      <c r="B770" s="10"/>
      <c r="C770" s="10"/>
      <c r="D770" s="10"/>
      <c r="E770" s="10"/>
      <c r="F770" s="10"/>
      <c r="G770" s="10"/>
      <c r="H770" s="10"/>
      <c r="I770" s="10"/>
      <c r="J770" s="10"/>
      <c r="K770" s="22"/>
      <c r="L770" s="10"/>
      <c r="M770" s="236">
        <f t="shared" si="11"/>
        <v>2024012</v>
      </c>
    </row>
    <row r="771" spans="1:13" x14ac:dyDescent="0.3">
      <c r="A771" s="2">
        <v>2024013</v>
      </c>
      <c r="B771" s="10"/>
      <c r="C771" s="10"/>
      <c r="D771" s="10"/>
      <c r="E771" s="10"/>
      <c r="F771" s="10"/>
      <c r="G771" s="10"/>
      <c r="H771" s="10"/>
      <c r="I771" s="10"/>
      <c r="J771" s="10"/>
      <c r="K771" s="22"/>
      <c r="L771" s="10"/>
      <c r="M771" s="236">
        <f t="shared" ref="M771:M834" si="12">A771</f>
        <v>2024013</v>
      </c>
    </row>
    <row r="772" spans="1:13" x14ac:dyDescent="0.3">
      <c r="A772" s="2">
        <v>2024014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22"/>
      <c r="L772" s="10"/>
      <c r="M772" s="236">
        <f t="shared" si="12"/>
        <v>2024014</v>
      </c>
    </row>
    <row r="773" spans="1:13" x14ac:dyDescent="0.3">
      <c r="A773" s="2">
        <v>2024015</v>
      </c>
      <c r="B773" s="10"/>
      <c r="C773" s="10"/>
      <c r="D773" s="10"/>
      <c r="E773" s="10"/>
      <c r="F773" s="10"/>
      <c r="G773" s="10"/>
      <c r="H773" s="10"/>
      <c r="I773" s="10"/>
      <c r="J773" s="10"/>
      <c r="K773" s="22"/>
      <c r="L773" s="10"/>
      <c r="M773" s="236">
        <f t="shared" si="12"/>
        <v>2024015</v>
      </c>
    </row>
    <row r="774" spans="1:13" x14ac:dyDescent="0.3">
      <c r="A774" s="2">
        <v>2024016</v>
      </c>
      <c r="B774" s="10"/>
      <c r="C774" s="10"/>
      <c r="D774" s="10"/>
      <c r="E774" s="10"/>
      <c r="F774" s="10"/>
      <c r="G774" s="10"/>
      <c r="H774" s="10"/>
      <c r="I774" s="10"/>
      <c r="J774" s="10"/>
      <c r="K774" s="22"/>
      <c r="L774" s="10"/>
      <c r="M774" s="236">
        <f t="shared" si="12"/>
        <v>2024016</v>
      </c>
    </row>
    <row r="775" spans="1:13" x14ac:dyDescent="0.3">
      <c r="A775" s="2">
        <v>2024017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22"/>
      <c r="L775" s="10"/>
      <c r="M775" s="236">
        <f t="shared" si="12"/>
        <v>2024017</v>
      </c>
    </row>
    <row r="776" spans="1:13" x14ac:dyDescent="0.3">
      <c r="A776" s="2">
        <v>2024018</v>
      </c>
      <c r="B776" s="10"/>
      <c r="C776" s="10"/>
      <c r="D776" s="10"/>
      <c r="E776" s="10"/>
      <c r="F776" s="10"/>
      <c r="G776" s="10"/>
      <c r="H776" s="10"/>
      <c r="I776" s="10"/>
      <c r="J776" s="10"/>
      <c r="K776" s="22"/>
      <c r="L776" s="10"/>
      <c r="M776" s="236">
        <f t="shared" si="12"/>
        <v>2024018</v>
      </c>
    </row>
    <row r="777" spans="1:13" x14ac:dyDescent="0.3">
      <c r="A777" s="2">
        <v>2024019</v>
      </c>
      <c r="B777" s="10"/>
      <c r="C777" s="10"/>
      <c r="D777" s="10"/>
      <c r="E777" s="10"/>
      <c r="F777" s="10"/>
      <c r="G777" s="10"/>
      <c r="H777" s="10"/>
      <c r="I777" s="10"/>
      <c r="J777" s="10"/>
      <c r="K777" s="22"/>
      <c r="L777" s="10"/>
      <c r="M777" s="236">
        <f t="shared" si="12"/>
        <v>2024019</v>
      </c>
    </row>
    <row r="778" spans="1:13" x14ac:dyDescent="0.3">
      <c r="A778" s="2">
        <v>2024020</v>
      </c>
      <c r="B778" s="10"/>
      <c r="C778" s="10"/>
      <c r="D778" s="10"/>
      <c r="E778" s="10"/>
      <c r="F778" s="10"/>
      <c r="G778" s="10"/>
      <c r="H778" s="10"/>
      <c r="I778" s="10"/>
      <c r="J778" s="10"/>
      <c r="K778" s="22"/>
      <c r="L778" s="10"/>
      <c r="M778" s="236">
        <f t="shared" si="12"/>
        <v>2024020</v>
      </c>
    </row>
    <row r="779" spans="1:13" x14ac:dyDescent="0.3">
      <c r="A779" s="2">
        <v>2024021</v>
      </c>
      <c r="B779" s="10"/>
      <c r="C779" s="10"/>
      <c r="D779" s="10"/>
      <c r="E779" s="10"/>
      <c r="F779" s="10"/>
      <c r="G779" s="10"/>
      <c r="H779" s="10"/>
      <c r="I779" s="10"/>
      <c r="J779" s="10"/>
      <c r="K779" s="22"/>
      <c r="L779" s="10"/>
      <c r="M779" s="236">
        <f t="shared" si="12"/>
        <v>2024021</v>
      </c>
    </row>
    <row r="780" spans="1:13" x14ac:dyDescent="0.3">
      <c r="A780" s="2">
        <v>2024022</v>
      </c>
      <c r="B780" s="10"/>
      <c r="C780" s="10"/>
      <c r="D780" s="10"/>
      <c r="E780" s="10"/>
      <c r="F780" s="10"/>
      <c r="G780" s="10"/>
      <c r="H780" s="10"/>
      <c r="I780" s="10"/>
      <c r="J780" s="10"/>
      <c r="K780" s="22"/>
      <c r="L780" s="10"/>
      <c r="M780" s="236">
        <f t="shared" si="12"/>
        <v>2024022</v>
      </c>
    </row>
    <row r="781" spans="1:13" x14ac:dyDescent="0.3">
      <c r="A781" s="2">
        <v>2024023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22"/>
      <c r="L781" s="10"/>
      <c r="M781" s="236">
        <f t="shared" si="12"/>
        <v>2024023</v>
      </c>
    </row>
    <row r="782" spans="1:13" x14ac:dyDescent="0.3">
      <c r="A782" s="2">
        <v>2024024</v>
      </c>
      <c r="B782" s="10"/>
      <c r="C782" s="10"/>
      <c r="D782" s="10"/>
      <c r="E782" s="10"/>
      <c r="F782" s="10"/>
      <c r="G782" s="10"/>
      <c r="H782" s="10"/>
      <c r="I782" s="10"/>
      <c r="J782" s="10"/>
      <c r="K782" s="22"/>
      <c r="L782" s="10"/>
      <c r="M782" s="236">
        <f t="shared" si="12"/>
        <v>2024024</v>
      </c>
    </row>
    <row r="783" spans="1:13" x14ac:dyDescent="0.3">
      <c r="A783" s="2">
        <v>2024025</v>
      </c>
      <c r="B783" s="10"/>
      <c r="C783" s="10"/>
      <c r="D783" s="10"/>
      <c r="E783" s="10"/>
      <c r="F783" s="10"/>
      <c r="G783" s="10"/>
      <c r="H783" s="10"/>
      <c r="I783" s="10"/>
      <c r="J783" s="10"/>
      <c r="K783" s="22"/>
      <c r="L783" s="10"/>
      <c r="M783" s="236">
        <f t="shared" si="12"/>
        <v>2024025</v>
      </c>
    </row>
    <row r="784" spans="1:13" x14ac:dyDescent="0.3">
      <c r="A784" s="2">
        <v>2024026</v>
      </c>
      <c r="B784" s="10"/>
      <c r="C784" s="10"/>
      <c r="D784" s="10"/>
      <c r="E784" s="10"/>
      <c r="F784" s="10"/>
      <c r="G784" s="10"/>
      <c r="H784" s="10"/>
      <c r="I784" s="10"/>
      <c r="J784" s="10"/>
      <c r="K784" s="22"/>
      <c r="L784" s="10"/>
      <c r="M784" s="236">
        <f t="shared" si="12"/>
        <v>2024026</v>
      </c>
    </row>
    <row r="785" spans="1:13" x14ac:dyDescent="0.3">
      <c r="A785" s="2">
        <v>2024027</v>
      </c>
      <c r="B785" s="10"/>
      <c r="C785" s="10"/>
      <c r="D785" s="10"/>
      <c r="E785" s="10"/>
      <c r="F785" s="10"/>
      <c r="G785" s="10"/>
      <c r="H785" s="10"/>
      <c r="I785" s="10"/>
      <c r="J785" s="10"/>
      <c r="K785" s="22"/>
      <c r="L785" s="10"/>
      <c r="M785" s="236">
        <f t="shared" si="12"/>
        <v>2024027</v>
      </c>
    </row>
    <row r="786" spans="1:13" x14ac:dyDescent="0.3">
      <c r="A786" s="2">
        <v>2024028</v>
      </c>
      <c r="B786" s="10"/>
      <c r="C786" s="10"/>
      <c r="D786" s="10"/>
      <c r="E786" s="10"/>
      <c r="F786" s="10"/>
      <c r="G786" s="10"/>
      <c r="H786" s="10"/>
      <c r="I786" s="10"/>
      <c r="J786" s="10"/>
      <c r="K786" s="22"/>
      <c r="L786" s="10"/>
      <c r="M786" s="236">
        <f t="shared" si="12"/>
        <v>2024028</v>
      </c>
    </row>
    <row r="787" spans="1:13" x14ac:dyDescent="0.3">
      <c r="A787" s="2">
        <v>2024029</v>
      </c>
      <c r="B787" s="10"/>
      <c r="C787" s="10"/>
      <c r="D787" s="10"/>
      <c r="E787" s="10"/>
      <c r="F787" s="10"/>
      <c r="G787" s="10"/>
      <c r="H787" s="10"/>
      <c r="I787" s="10"/>
      <c r="J787" s="10"/>
      <c r="K787" s="22"/>
      <c r="L787" s="10"/>
      <c r="M787" s="236">
        <f t="shared" si="12"/>
        <v>2024029</v>
      </c>
    </row>
    <row r="788" spans="1:13" x14ac:dyDescent="0.3">
      <c r="A788" s="2">
        <v>2024030</v>
      </c>
      <c r="B788" s="10"/>
      <c r="C788" s="10"/>
      <c r="D788" s="10"/>
      <c r="E788" s="10"/>
      <c r="F788" s="10"/>
      <c r="G788" s="10"/>
      <c r="H788" s="10"/>
      <c r="I788" s="10"/>
      <c r="J788" s="10"/>
      <c r="K788" s="22"/>
      <c r="L788" s="10"/>
      <c r="M788" s="236">
        <f t="shared" si="12"/>
        <v>2024030</v>
      </c>
    </row>
    <row r="789" spans="1:13" x14ac:dyDescent="0.3">
      <c r="A789" s="2">
        <v>2024031</v>
      </c>
      <c r="B789" s="10"/>
      <c r="C789" s="10"/>
      <c r="D789" s="10"/>
      <c r="E789" s="10"/>
      <c r="F789" s="10"/>
      <c r="G789" s="10"/>
      <c r="H789" s="10"/>
      <c r="I789" s="10"/>
      <c r="J789" s="10"/>
      <c r="K789" s="22"/>
      <c r="L789" s="10"/>
      <c r="M789" s="236">
        <f t="shared" si="12"/>
        <v>2024031</v>
      </c>
    </row>
    <row r="790" spans="1:13" x14ac:dyDescent="0.3">
      <c r="A790" s="2">
        <v>2024032</v>
      </c>
      <c r="B790" s="10"/>
      <c r="C790" s="10"/>
      <c r="D790" s="10"/>
      <c r="E790" s="10"/>
      <c r="F790" s="10"/>
      <c r="G790" s="10"/>
      <c r="H790" s="10"/>
      <c r="I790" s="10"/>
      <c r="J790" s="10"/>
      <c r="K790" s="22"/>
      <c r="L790" s="10"/>
      <c r="M790" s="236">
        <f t="shared" si="12"/>
        <v>2024032</v>
      </c>
    </row>
    <row r="791" spans="1:13" x14ac:dyDescent="0.3">
      <c r="A791" s="2">
        <v>2024033</v>
      </c>
      <c r="B791" s="10"/>
      <c r="C791" s="10"/>
      <c r="D791" s="10"/>
      <c r="E791" s="10"/>
      <c r="F791" s="10"/>
      <c r="G791" s="10"/>
      <c r="H791" s="10"/>
      <c r="I791" s="10"/>
      <c r="J791" s="10"/>
      <c r="K791" s="22"/>
      <c r="L791" s="10"/>
      <c r="M791" s="236">
        <f t="shared" si="12"/>
        <v>2024033</v>
      </c>
    </row>
    <row r="792" spans="1:13" x14ac:dyDescent="0.3">
      <c r="A792" s="2">
        <v>2024034</v>
      </c>
      <c r="B792" s="10"/>
      <c r="C792" s="10"/>
      <c r="D792" s="10"/>
      <c r="E792" s="10"/>
      <c r="F792" s="10"/>
      <c r="G792" s="10"/>
      <c r="H792" s="10"/>
      <c r="I792" s="10"/>
      <c r="J792" s="10"/>
      <c r="K792" s="22"/>
      <c r="L792" s="10"/>
      <c r="M792" s="236">
        <f t="shared" si="12"/>
        <v>2024034</v>
      </c>
    </row>
    <row r="793" spans="1:13" x14ac:dyDescent="0.3">
      <c r="A793" s="2">
        <v>2024035</v>
      </c>
      <c r="B793" s="10"/>
      <c r="C793" s="10"/>
      <c r="D793" s="10"/>
      <c r="E793" s="10"/>
      <c r="F793" s="10"/>
      <c r="G793" s="10"/>
      <c r="H793" s="10"/>
      <c r="I793" s="10"/>
      <c r="J793" s="10"/>
      <c r="K793" s="22"/>
      <c r="L793" s="10"/>
      <c r="M793" s="236">
        <f t="shared" si="12"/>
        <v>2024035</v>
      </c>
    </row>
    <row r="794" spans="1:13" x14ac:dyDescent="0.3">
      <c r="A794" s="2">
        <v>2024036</v>
      </c>
      <c r="B794" s="10"/>
      <c r="C794" s="10"/>
      <c r="D794" s="10"/>
      <c r="E794" s="10"/>
      <c r="F794" s="10"/>
      <c r="G794" s="10"/>
      <c r="H794" s="10"/>
      <c r="I794" s="10"/>
      <c r="J794" s="10"/>
      <c r="K794" s="22"/>
      <c r="L794" s="10"/>
      <c r="M794" s="236">
        <f t="shared" si="12"/>
        <v>2024036</v>
      </c>
    </row>
    <row r="795" spans="1:13" x14ac:dyDescent="0.3">
      <c r="A795" s="2">
        <v>2024037</v>
      </c>
      <c r="B795" s="10"/>
      <c r="C795" s="10"/>
      <c r="D795" s="10"/>
      <c r="E795" s="10"/>
      <c r="F795" s="10"/>
      <c r="G795" s="10"/>
      <c r="H795" s="10"/>
      <c r="I795" s="10"/>
      <c r="J795" s="10"/>
      <c r="K795" s="22"/>
      <c r="L795" s="10"/>
      <c r="M795" s="236">
        <f t="shared" si="12"/>
        <v>2024037</v>
      </c>
    </row>
    <row r="796" spans="1:13" x14ac:dyDescent="0.3">
      <c r="A796" s="2">
        <v>2024038</v>
      </c>
      <c r="B796" s="10"/>
      <c r="C796" s="10"/>
      <c r="D796" s="10"/>
      <c r="E796" s="10"/>
      <c r="F796" s="10"/>
      <c r="G796" s="10"/>
      <c r="H796" s="10"/>
      <c r="I796" s="10"/>
      <c r="J796" s="10"/>
      <c r="K796" s="22"/>
      <c r="L796" s="10"/>
      <c r="M796" s="236">
        <f t="shared" si="12"/>
        <v>2024038</v>
      </c>
    </row>
    <row r="797" spans="1:13" x14ac:dyDescent="0.3">
      <c r="A797" s="2">
        <v>2024039</v>
      </c>
      <c r="B797" s="10"/>
      <c r="C797" s="10"/>
      <c r="D797" s="10"/>
      <c r="E797" s="10"/>
      <c r="F797" s="10"/>
      <c r="G797" s="10"/>
      <c r="H797" s="10"/>
      <c r="I797" s="10"/>
      <c r="J797" s="10"/>
      <c r="K797" s="22"/>
      <c r="L797" s="10"/>
      <c r="M797" s="236">
        <f t="shared" si="12"/>
        <v>2024039</v>
      </c>
    </row>
    <row r="798" spans="1:13" x14ac:dyDescent="0.3">
      <c r="A798" s="2">
        <v>2024040</v>
      </c>
      <c r="B798" s="10"/>
      <c r="C798" s="10"/>
      <c r="D798" s="10"/>
      <c r="E798" s="10"/>
      <c r="F798" s="10"/>
      <c r="G798" s="10"/>
      <c r="H798" s="10"/>
      <c r="I798" s="10"/>
      <c r="J798" s="10"/>
      <c r="K798" s="22"/>
      <c r="L798" s="10"/>
      <c r="M798" s="236">
        <f t="shared" si="12"/>
        <v>2024040</v>
      </c>
    </row>
    <row r="799" spans="1:13" x14ac:dyDescent="0.3">
      <c r="A799" s="2">
        <v>2024041</v>
      </c>
      <c r="B799" s="10"/>
      <c r="C799" s="10"/>
      <c r="D799" s="10"/>
      <c r="E799" s="10"/>
      <c r="F799" s="10"/>
      <c r="G799" s="10"/>
      <c r="H799" s="10"/>
      <c r="I799" s="10"/>
      <c r="J799" s="10"/>
      <c r="K799" s="22"/>
      <c r="L799" s="10"/>
      <c r="M799" s="236">
        <f t="shared" si="12"/>
        <v>2024041</v>
      </c>
    </row>
    <row r="800" spans="1:13" x14ac:dyDescent="0.3">
      <c r="A800" s="2">
        <v>2024042</v>
      </c>
      <c r="B800" s="10"/>
      <c r="C800" s="10"/>
      <c r="D800" s="10"/>
      <c r="E800" s="10"/>
      <c r="F800" s="10"/>
      <c r="G800" s="10"/>
      <c r="H800" s="10"/>
      <c r="I800" s="10"/>
      <c r="J800" s="10"/>
      <c r="K800" s="22"/>
      <c r="L800" s="10"/>
      <c r="M800" s="236">
        <f t="shared" si="12"/>
        <v>2024042</v>
      </c>
    </row>
    <row r="801" spans="1:13" x14ac:dyDescent="0.3">
      <c r="A801" s="2">
        <v>2024043</v>
      </c>
      <c r="B801" s="10"/>
      <c r="C801" s="10"/>
      <c r="D801" s="10"/>
      <c r="E801" s="10"/>
      <c r="F801" s="10"/>
      <c r="G801" s="10"/>
      <c r="H801" s="10"/>
      <c r="I801" s="10"/>
      <c r="J801" s="10"/>
      <c r="K801" s="22"/>
      <c r="L801" s="10"/>
      <c r="M801" s="236">
        <f t="shared" si="12"/>
        <v>2024043</v>
      </c>
    </row>
    <row r="802" spans="1:13" x14ac:dyDescent="0.3">
      <c r="A802" s="2">
        <v>2024044</v>
      </c>
      <c r="B802" s="10"/>
      <c r="C802" s="10"/>
      <c r="D802" s="10"/>
      <c r="E802" s="10"/>
      <c r="F802" s="10"/>
      <c r="G802" s="10"/>
      <c r="H802" s="10"/>
      <c r="I802" s="10"/>
      <c r="J802" s="10"/>
      <c r="K802" s="22"/>
      <c r="L802" s="10"/>
      <c r="M802" s="236">
        <f t="shared" si="12"/>
        <v>2024044</v>
      </c>
    </row>
    <row r="803" spans="1:13" x14ac:dyDescent="0.3">
      <c r="A803" s="2">
        <v>2024045</v>
      </c>
      <c r="B803" s="10"/>
      <c r="C803" s="10"/>
      <c r="D803" s="10"/>
      <c r="E803" s="10"/>
      <c r="F803" s="10"/>
      <c r="G803" s="10"/>
      <c r="H803" s="10"/>
      <c r="I803" s="10"/>
      <c r="J803" s="10"/>
      <c r="K803" s="22"/>
      <c r="L803" s="10"/>
      <c r="M803" s="236">
        <f t="shared" si="12"/>
        <v>2024045</v>
      </c>
    </row>
    <row r="804" spans="1:13" x14ac:dyDescent="0.3">
      <c r="A804" s="2">
        <v>2024046</v>
      </c>
      <c r="B804" s="10"/>
      <c r="C804" s="10"/>
      <c r="D804" s="10"/>
      <c r="E804" s="10"/>
      <c r="F804" s="10"/>
      <c r="G804" s="10"/>
      <c r="H804" s="10"/>
      <c r="I804" s="10"/>
      <c r="J804" s="10"/>
      <c r="K804" s="22"/>
      <c r="L804" s="10"/>
      <c r="M804" s="236">
        <f t="shared" si="12"/>
        <v>2024046</v>
      </c>
    </row>
    <row r="805" spans="1:13" x14ac:dyDescent="0.3">
      <c r="A805" s="2">
        <v>2024047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22"/>
      <c r="L805" s="10"/>
      <c r="M805" s="236">
        <f t="shared" si="12"/>
        <v>2024047</v>
      </c>
    </row>
    <row r="806" spans="1:13" x14ac:dyDescent="0.3">
      <c r="A806" s="2">
        <v>2024048</v>
      </c>
      <c r="B806" s="10"/>
      <c r="C806" s="10"/>
      <c r="D806" s="10"/>
      <c r="E806" s="10"/>
      <c r="F806" s="10"/>
      <c r="G806" s="10"/>
      <c r="H806" s="10"/>
      <c r="I806" s="10"/>
      <c r="J806" s="10"/>
      <c r="K806" s="22"/>
      <c r="L806" s="10"/>
      <c r="M806" s="236">
        <f t="shared" si="12"/>
        <v>2024048</v>
      </c>
    </row>
    <row r="807" spans="1:13" x14ac:dyDescent="0.3">
      <c r="A807" s="2">
        <v>2024049</v>
      </c>
      <c r="B807" s="10"/>
      <c r="C807" s="10"/>
      <c r="D807" s="10"/>
      <c r="E807" s="10"/>
      <c r="F807" s="10"/>
      <c r="G807" s="10"/>
      <c r="H807" s="10"/>
      <c r="I807" s="10"/>
      <c r="J807" s="10"/>
      <c r="K807" s="22"/>
      <c r="L807" s="10"/>
      <c r="M807" s="236">
        <f t="shared" si="12"/>
        <v>2024049</v>
      </c>
    </row>
    <row r="808" spans="1:13" x14ac:dyDescent="0.3">
      <c r="A808" s="2">
        <v>2024050</v>
      </c>
      <c r="B808" s="10"/>
      <c r="C808" s="10"/>
      <c r="D808" s="10"/>
      <c r="E808" s="10"/>
      <c r="F808" s="10"/>
      <c r="G808" s="10"/>
      <c r="H808" s="10"/>
      <c r="I808" s="10"/>
      <c r="J808" s="10"/>
      <c r="K808" s="22"/>
      <c r="L808" s="10"/>
      <c r="M808" s="236">
        <f t="shared" si="12"/>
        <v>2024050</v>
      </c>
    </row>
    <row r="809" spans="1:13" x14ac:dyDescent="0.3">
      <c r="A809" s="2">
        <v>2024051</v>
      </c>
      <c r="B809" s="10"/>
      <c r="C809" s="10"/>
      <c r="D809" s="10"/>
      <c r="E809" s="10"/>
      <c r="F809" s="10"/>
      <c r="G809" s="10"/>
      <c r="H809" s="10"/>
      <c r="I809" s="10"/>
      <c r="J809" s="10"/>
      <c r="K809" s="22"/>
      <c r="L809" s="10"/>
      <c r="M809" s="236">
        <f t="shared" si="12"/>
        <v>2024051</v>
      </c>
    </row>
    <row r="810" spans="1:13" x14ac:dyDescent="0.3">
      <c r="A810" s="2">
        <v>2024052</v>
      </c>
      <c r="B810" s="10"/>
      <c r="C810" s="10"/>
      <c r="D810" s="10"/>
      <c r="E810" s="10"/>
      <c r="F810" s="10"/>
      <c r="G810" s="10"/>
      <c r="H810" s="10"/>
      <c r="I810" s="10"/>
      <c r="J810" s="10"/>
      <c r="K810" s="22"/>
      <c r="L810" s="10"/>
      <c r="M810" s="236">
        <f t="shared" si="12"/>
        <v>2024052</v>
      </c>
    </row>
    <row r="811" spans="1:13" x14ac:dyDescent="0.3">
      <c r="A811" s="2">
        <v>2024053</v>
      </c>
      <c r="B811" s="10"/>
      <c r="C811" s="10"/>
      <c r="D811" s="10"/>
      <c r="E811" s="10"/>
      <c r="F811" s="10"/>
      <c r="G811" s="10"/>
      <c r="H811" s="10"/>
      <c r="I811" s="10"/>
      <c r="J811" s="10"/>
      <c r="K811" s="22"/>
      <c r="L811" s="10"/>
      <c r="M811" s="236">
        <f t="shared" si="12"/>
        <v>2024053</v>
      </c>
    </row>
    <row r="812" spans="1:13" x14ac:dyDescent="0.3">
      <c r="A812" s="2">
        <v>2024054</v>
      </c>
      <c r="B812" s="10"/>
      <c r="C812" s="10"/>
      <c r="D812" s="10"/>
      <c r="E812" s="10"/>
      <c r="F812" s="10"/>
      <c r="G812" s="10"/>
      <c r="H812" s="10"/>
      <c r="I812" s="10"/>
      <c r="J812" s="10"/>
      <c r="K812" s="22"/>
      <c r="L812" s="10"/>
      <c r="M812" s="236">
        <f t="shared" si="12"/>
        <v>2024054</v>
      </c>
    </row>
    <row r="813" spans="1:13" x14ac:dyDescent="0.3">
      <c r="A813" s="2">
        <v>2024055</v>
      </c>
      <c r="B813" s="10"/>
      <c r="C813" s="10"/>
      <c r="D813" s="10"/>
      <c r="E813" s="10"/>
      <c r="F813" s="10"/>
      <c r="G813" s="10"/>
      <c r="H813" s="10"/>
      <c r="I813" s="10"/>
      <c r="J813" s="10"/>
      <c r="K813" s="22"/>
      <c r="L813" s="10"/>
      <c r="M813" s="236">
        <f t="shared" si="12"/>
        <v>2024055</v>
      </c>
    </row>
    <row r="814" spans="1:13" x14ac:dyDescent="0.3">
      <c r="A814" s="2">
        <v>2024056</v>
      </c>
      <c r="B814" s="10"/>
      <c r="C814" s="10"/>
      <c r="D814" s="10"/>
      <c r="E814" s="10"/>
      <c r="F814" s="10"/>
      <c r="G814" s="10"/>
      <c r="H814" s="10"/>
      <c r="I814" s="10"/>
      <c r="J814" s="10"/>
      <c r="K814" s="22"/>
      <c r="L814" s="10"/>
      <c r="M814" s="236">
        <f t="shared" si="12"/>
        <v>2024056</v>
      </c>
    </row>
    <row r="815" spans="1:13" x14ac:dyDescent="0.3">
      <c r="A815" s="2">
        <v>2024057</v>
      </c>
      <c r="B815" s="10"/>
      <c r="C815" s="10"/>
      <c r="D815" s="10"/>
      <c r="E815" s="10"/>
      <c r="F815" s="10"/>
      <c r="G815" s="10"/>
      <c r="H815" s="10"/>
      <c r="I815" s="10"/>
      <c r="J815" s="10"/>
      <c r="K815" s="22"/>
      <c r="L815" s="10"/>
      <c r="M815" s="236">
        <f t="shared" si="12"/>
        <v>2024057</v>
      </c>
    </row>
    <row r="816" spans="1:13" x14ac:dyDescent="0.3">
      <c r="A816" s="2">
        <v>2024058</v>
      </c>
      <c r="B816" s="10"/>
      <c r="C816" s="10"/>
      <c r="D816" s="10"/>
      <c r="E816" s="10"/>
      <c r="F816" s="10"/>
      <c r="G816" s="10"/>
      <c r="H816" s="10"/>
      <c r="I816" s="10"/>
      <c r="J816" s="10"/>
      <c r="K816" s="22"/>
      <c r="L816" s="10"/>
      <c r="M816" s="236">
        <f t="shared" si="12"/>
        <v>2024058</v>
      </c>
    </row>
    <row r="817" spans="1:13" x14ac:dyDescent="0.3">
      <c r="A817" s="2">
        <v>2024059</v>
      </c>
      <c r="B817" s="10"/>
      <c r="C817" s="10"/>
      <c r="D817" s="10"/>
      <c r="E817" s="10"/>
      <c r="F817" s="10"/>
      <c r="G817" s="10"/>
      <c r="H817" s="10"/>
      <c r="I817" s="10"/>
      <c r="J817" s="10"/>
      <c r="K817" s="22"/>
      <c r="L817" s="10"/>
      <c r="M817" s="236">
        <f t="shared" si="12"/>
        <v>2024059</v>
      </c>
    </row>
    <row r="818" spans="1:13" x14ac:dyDescent="0.3">
      <c r="A818" s="2">
        <v>2024060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22"/>
      <c r="L818" s="10"/>
      <c r="M818" s="236">
        <f t="shared" si="12"/>
        <v>2024060</v>
      </c>
    </row>
    <row r="819" spans="1:13" x14ac:dyDescent="0.3">
      <c r="A819" s="2">
        <v>2024061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22"/>
      <c r="L819" s="10"/>
      <c r="M819" s="236">
        <f t="shared" si="12"/>
        <v>2024061</v>
      </c>
    </row>
    <row r="820" spans="1:13" x14ac:dyDescent="0.3">
      <c r="A820" s="2">
        <v>2024062</v>
      </c>
      <c r="B820" s="10"/>
      <c r="C820" s="10"/>
      <c r="D820" s="10"/>
      <c r="E820" s="10"/>
      <c r="F820" s="10"/>
      <c r="G820" s="10"/>
      <c r="H820" s="10"/>
      <c r="I820" s="10"/>
      <c r="J820" s="10"/>
      <c r="K820" s="22"/>
      <c r="L820" s="10"/>
      <c r="M820" s="236">
        <f t="shared" si="12"/>
        <v>2024062</v>
      </c>
    </row>
    <row r="821" spans="1:13" x14ac:dyDescent="0.3">
      <c r="A821" s="2">
        <v>2024063</v>
      </c>
      <c r="B821" s="10"/>
      <c r="C821" s="10"/>
      <c r="D821" s="10"/>
      <c r="E821" s="10"/>
      <c r="F821" s="10"/>
      <c r="G821" s="10"/>
      <c r="H821" s="10"/>
      <c r="I821" s="10"/>
      <c r="J821" s="10"/>
      <c r="K821" s="22"/>
      <c r="L821" s="10"/>
      <c r="M821" s="236">
        <f t="shared" si="12"/>
        <v>2024063</v>
      </c>
    </row>
    <row r="822" spans="1:13" x14ac:dyDescent="0.3">
      <c r="A822" s="2">
        <v>2024064</v>
      </c>
      <c r="B822" s="10"/>
      <c r="C822" s="10"/>
      <c r="D822" s="10"/>
      <c r="E822" s="10"/>
      <c r="F822" s="10"/>
      <c r="G822" s="10"/>
      <c r="H822" s="10"/>
      <c r="I822" s="10"/>
      <c r="J822" s="10"/>
      <c r="K822" s="22"/>
      <c r="L822" s="10"/>
      <c r="M822" s="236">
        <f t="shared" si="12"/>
        <v>2024064</v>
      </c>
    </row>
    <row r="823" spans="1:13" x14ac:dyDescent="0.3">
      <c r="A823" s="2">
        <v>2024065</v>
      </c>
      <c r="B823" s="10"/>
      <c r="C823" s="10"/>
      <c r="D823" s="10"/>
      <c r="E823" s="10"/>
      <c r="F823" s="10"/>
      <c r="G823" s="10"/>
      <c r="H823" s="10"/>
      <c r="I823" s="10"/>
      <c r="J823" s="10"/>
      <c r="K823" s="22"/>
      <c r="L823" s="10"/>
      <c r="M823" s="236">
        <f t="shared" si="12"/>
        <v>2024065</v>
      </c>
    </row>
    <row r="824" spans="1:13" x14ac:dyDescent="0.3">
      <c r="A824" s="2">
        <v>2024066</v>
      </c>
      <c r="B824" s="10"/>
      <c r="C824" s="10"/>
      <c r="D824" s="10"/>
      <c r="E824" s="10"/>
      <c r="F824" s="10"/>
      <c r="G824" s="10"/>
      <c r="H824" s="10"/>
      <c r="I824" s="10"/>
      <c r="J824" s="10"/>
      <c r="K824" s="22"/>
      <c r="L824" s="10"/>
      <c r="M824" s="236">
        <f t="shared" si="12"/>
        <v>2024066</v>
      </c>
    </row>
    <row r="825" spans="1:13" x14ac:dyDescent="0.3">
      <c r="A825" s="2">
        <v>2024067</v>
      </c>
      <c r="B825" s="10"/>
      <c r="C825" s="10"/>
      <c r="D825" s="10"/>
      <c r="E825" s="10"/>
      <c r="F825" s="10"/>
      <c r="G825" s="10"/>
      <c r="H825" s="10"/>
      <c r="I825" s="10"/>
      <c r="J825" s="10"/>
      <c r="K825" s="22"/>
      <c r="L825" s="10"/>
      <c r="M825" s="236">
        <f t="shared" si="12"/>
        <v>2024067</v>
      </c>
    </row>
    <row r="826" spans="1:13" x14ac:dyDescent="0.3">
      <c r="A826" s="2">
        <v>2024068</v>
      </c>
      <c r="B826" s="10"/>
      <c r="C826" s="10"/>
      <c r="D826" s="10"/>
      <c r="E826" s="10"/>
      <c r="F826" s="10"/>
      <c r="G826" s="10"/>
      <c r="H826" s="10"/>
      <c r="I826" s="10"/>
      <c r="J826" s="10"/>
      <c r="K826" s="22"/>
      <c r="L826" s="10"/>
      <c r="M826" s="236">
        <f t="shared" si="12"/>
        <v>2024068</v>
      </c>
    </row>
    <row r="827" spans="1:13" x14ac:dyDescent="0.3">
      <c r="A827" s="2">
        <v>2024069</v>
      </c>
      <c r="B827" s="10"/>
      <c r="C827" s="10"/>
      <c r="D827" s="10"/>
      <c r="E827" s="10"/>
      <c r="F827" s="10"/>
      <c r="G827" s="10"/>
      <c r="H827" s="10"/>
      <c r="I827" s="10"/>
      <c r="J827" s="10"/>
      <c r="K827" s="22"/>
      <c r="L827" s="10"/>
      <c r="M827" s="236">
        <f t="shared" si="12"/>
        <v>2024069</v>
      </c>
    </row>
    <row r="828" spans="1:13" x14ac:dyDescent="0.3">
      <c r="A828" s="2">
        <v>2024070</v>
      </c>
      <c r="B828" s="10"/>
      <c r="C828" s="10"/>
      <c r="D828" s="10"/>
      <c r="E828" s="10"/>
      <c r="F828" s="10"/>
      <c r="G828" s="10"/>
      <c r="H828" s="10"/>
      <c r="I828" s="10"/>
      <c r="J828" s="10"/>
      <c r="K828" s="22"/>
      <c r="L828" s="10"/>
      <c r="M828" s="236">
        <f t="shared" si="12"/>
        <v>2024070</v>
      </c>
    </row>
    <row r="829" spans="1:13" x14ac:dyDescent="0.3">
      <c r="A829" s="2">
        <v>2024071</v>
      </c>
      <c r="B829" s="10"/>
      <c r="C829" s="10"/>
      <c r="D829" s="10"/>
      <c r="E829" s="10"/>
      <c r="F829" s="10"/>
      <c r="G829" s="10"/>
      <c r="H829" s="10"/>
      <c r="I829" s="10"/>
      <c r="J829" s="10"/>
      <c r="K829" s="22"/>
      <c r="L829" s="10"/>
      <c r="M829" s="236">
        <f t="shared" si="12"/>
        <v>2024071</v>
      </c>
    </row>
    <row r="830" spans="1:13" x14ac:dyDescent="0.3">
      <c r="A830" s="2">
        <v>2024072</v>
      </c>
      <c r="B830" s="10"/>
      <c r="C830" s="10"/>
      <c r="D830" s="10"/>
      <c r="E830" s="10"/>
      <c r="F830" s="10"/>
      <c r="G830" s="10"/>
      <c r="H830" s="10"/>
      <c r="I830" s="10"/>
      <c r="J830" s="10"/>
      <c r="K830" s="22"/>
      <c r="L830" s="10"/>
      <c r="M830" s="236">
        <f t="shared" si="12"/>
        <v>2024072</v>
      </c>
    </row>
    <row r="831" spans="1:13" x14ac:dyDescent="0.3">
      <c r="A831" s="2">
        <v>2024073</v>
      </c>
      <c r="B831" s="10"/>
      <c r="C831" s="10"/>
      <c r="D831" s="10"/>
      <c r="E831" s="10"/>
      <c r="F831" s="10"/>
      <c r="G831" s="10"/>
      <c r="H831" s="10"/>
      <c r="I831" s="10"/>
      <c r="J831" s="10"/>
      <c r="K831" s="22"/>
      <c r="L831" s="10"/>
      <c r="M831" s="236">
        <f t="shared" si="12"/>
        <v>2024073</v>
      </c>
    </row>
    <row r="832" spans="1:13" x14ac:dyDescent="0.3">
      <c r="A832" s="2">
        <v>2024074</v>
      </c>
      <c r="B832" s="10"/>
      <c r="C832" s="10"/>
      <c r="D832" s="10"/>
      <c r="E832" s="10"/>
      <c r="F832" s="10"/>
      <c r="G832" s="10"/>
      <c r="H832" s="10"/>
      <c r="I832" s="10"/>
      <c r="J832" s="10"/>
      <c r="K832" s="22"/>
      <c r="L832" s="10"/>
      <c r="M832" s="236">
        <f t="shared" si="12"/>
        <v>2024074</v>
      </c>
    </row>
    <row r="833" spans="1:13" x14ac:dyDescent="0.3">
      <c r="A833" s="2">
        <v>2024075</v>
      </c>
      <c r="B833" s="10"/>
      <c r="C833" s="10"/>
      <c r="D833" s="10"/>
      <c r="E833" s="10"/>
      <c r="F833" s="10"/>
      <c r="G833" s="10"/>
      <c r="H833" s="10"/>
      <c r="I833" s="10"/>
      <c r="J833" s="10"/>
      <c r="K833" s="22"/>
      <c r="L833" s="10"/>
      <c r="M833" s="236">
        <f t="shared" si="12"/>
        <v>2024075</v>
      </c>
    </row>
    <row r="834" spans="1:13" x14ac:dyDescent="0.3">
      <c r="A834" s="2">
        <v>2024076</v>
      </c>
      <c r="B834" s="10"/>
      <c r="C834" s="10"/>
      <c r="D834" s="10"/>
      <c r="E834" s="10"/>
      <c r="F834" s="10"/>
      <c r="G834" s="10"/>
      <c r="H834" s="10"/>
      <c r="I834" s="10"/>
      <c r="J834" s="10"/>
      <c r="K834" s="22"/>
      <c r="L834" s="10"/>
      <c r="M834" s="236">
        <f t="shared" si="12"/>
        <v>2024076</v>
      </c>
    </row>
    <row r="835" spans="1:13" x14ac:dyDescent="0.3">
      <c r="A835" s="2">
        <v>2024077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22"/>
      <c r="L835" s="10"/>
      <c r="M835" s="236">
        <f t="shared" ref="M835:M858" si="13">A835</f>
        <v>2024077</v>
      </c>
    </row>
    <row r="836" spans="1:13" x14ac:dyDescent="0.3">
      <c r="A836" s="2">
        <v>2024078</v>
      </c>
      <c r="B836" s="10"/>
      <c r="C836" s="10"/>
      <c r="D836" s="10"/>
      <c r="E836" s="10"/>
      <c r="F836" s="10"/>
      <c r="G836" s="10"/>
      <c r="H836" s="10"/>
      <c r="I836" s="10"/>
      <c r="J836" s="10"/>
      <c r="K836" s="22"/>
      <c r="L836" s="10"/>
      <c r="M836" s="236">
        <f t="shared" si="13"/>
        <v>2024078</v>
      </c>
    </row>
    <row r="837" spans="1:13" x14ac:dyDescent="0.3">
      <c r="A837" s="2">
        <v>2024079</v>
      </c>
      <c r="B837" s="10"/>
      <c r="C837" s="10"/>
      <c r="D837" s="10"/>
      <c r="E837" s="10"/>
      <c r="F837" s="10"/>
      <c r="G837" s="10"/>
      <c r="H837" s="10"/>
      <c r="I837" s="10"/>
      <c r="J837" s="10"/>
      <c r="K837" s="22"/>
      <c r="L837" s="10"/>
      <c r="M837" s="236">
        <f t="shared" si="13"/>
        <v>2024079</v>
      </c>
    </row>
    <row r="838" spans="1:13" x14ac:dyDescent="0.3">
      <c r="A838" s="2">
        <v>2024080</v>
      </c>
      <c r="B838" s="10"/>
      <c r="C838" s="10"/>
      <c r="D838" s="10"/>
      <c r="E838" s="10"/>
      <c r="F838" s="10"/>
      <c r="G838" s="10"/>
      <c r="H838" s="10"/>
      <c r="I838" s="10"/>
      <c r="J838" s="10"/>
      <c r="K838" s="22"/>
      <c r="L838" s="10"/>
      <c r="M838" s="236">
        <f t="shared" si="13"/>
        <v>2024080</v>
      </c>
    </row>
    <row r="839" spans="1:13" x14ac:dyDescent="0.3">
      <c r="A839" s="2">
        <v>2024081</v>
      </c>
      <c r="B839" s="10"/>
      <c r="C839" s="10"/>
      <c r="D839" s="10"/>
      <c r="E839" s="10"/>
      <c r="F839" s="10"/>
      <c r="G839" s="10"/>
      <c r="H839" s="10"/>
      <c r="I839" s="10"/>
      <c r="J839" s="10"/>
      <c r="K839" s="22"/>
      <c r="L839" s="10"/>
      <c r="M839" s="236">
        <f t="shared" si="13"/>
        <v>2024081</v>
      </c>
    </row>
    <row r="840" spans="1:13" x14ac:dyDescent="0.3">
      <c r="A840" s="2">
        <v>2024082</v>
      </c>
      <c r="B840" s="10"/>
      <c r="C840" s="10"/>
      <c r="D840" s="10"/>
      <c r="E840" s="10"/>
      <c r="F840" s="10"/>
      <c r="G840" s="10"/>
      <c r="H840" s="10"/>
      <c r="I840" s="10"/>
      <c r="J840" s="10"/>
      <c r="K840" s="22"/>
      <c r="L840" s="10"/>
      <c r="M840" s="236">
        <f t="shared" si="13"/>
        <v>2024082</v>
      </c>
    </row>
    <row r="841" spans="1:13" x14ac:dyDescent="0.3">
      <c r="A841" s="2">
        <v>2024083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22"/>
      <c r="L841" s="10"/>
      <c r="M841" s="236">
        <f t="shared" si="13"/>
        <v>2024083</v>
      </c>
    </row>
    <row r="842" spans="1:13" x14ac:dyDescent="0.3">
      <c r="A842" s="2">
        <v>2024084</v>
      </c>
      <c r="B842" s="10"/>
      <c r="C842" s="10"/>
      <c r="D842" s="10"/>
      <c r="E842" s="10"/>
      <c r="F842" s="10"/>
      <c r="G842" s="10"/>
      <c r="H842" s="10"/>
      <c r="I842" s="10"/>
      <c r="J842" s="10"/>
      <c r="K842" s="22"/>
      <c r="L842" s="10"/>
      <c r="M842" s="236">
        <f t="shared" si="13"/>
        <v>2024084</v>
      </c>
    </row>
    <row r="843" spans="1:13" x14ac:dyDescent="0.3">
      <c r="A843" s="2">
        <v>2024085</v>
      </c>
      <c r="B843" s="10"/>
      <c r="C843" s="10"/>
      <c r="D843" s="10"/>
      <c r="E843" s="10"/>
      <c r="F843" s="10"/>
      <c r="G843" s="10"/>
      <c r="H843" s="10"/>
      <c r="I843" s="10"/>
      <c r="J843" s="10"/>
      <c r="K843" s="22"/>
      <c r="L843" s="10"/>
      <c r="M843" s="236">
        <f t="shared" si="13"/>
        <v>2024085</v>
      </c>
    </row>
    <row r="844" spans="1:13" x14ac:dyDescent="0.3">
      <c r="A844" s="2">
        <v>2024086</v>
      </c>
      <c r="B844" s="10"/>
      <c r="C844" s="10"/>
      <c r="D844" s="10"/>
      <c r="E844" s="10"/>
      <c r="F844" s="10"/>
      <c r="G844" s="10"/>
      <c r="H844" s="10"/>
      <c r="I844" s="10"/>
      <c r="J844" s="10"/>
      <c r="K844" s="22"/>
      <c r="L844" s="10"/>
      <c r="M844" s="236">
        <f t="shared" si="13"/>
        <v>2024086</v>
      </c>
    </row>
    <row r="845" spans="1:13" x14ac:dyDescent="0.3">
      <c r="A845" s="2">
        <v>2024087</v>
      </c>
      <c r="B845" s="10"/>
      <c r="C845" s="10"/>
      <c r="D845" s="10"/>
      <c r="E845" s="10"/>
      <c r="F845" s="10"/>
      <c r="G845" s="10"/>
      <c r="H845" s="10"/>
      <c r="I845" s="10"/>
      <c r="J845" s="10"/>
      <c r="K845" s="22"/>
      <c r="L845" s="10"/>
      <c r="M845" s="236">
        <f t="shared" si="13"/>
        <v>2024087</v>
      </c>
    </row>
    <row r="846" spans="1:13" x14ac:dyDescent="0.3">
      <c r="A846" s="2">
        <v>2024088</v>
      </c>
      <c r="B846" s="10"/>
      <c r="C846" s="10"/>
      <c r="D846" s="10"/>
      <c r="E846" s="10"/>
      <c r="F846" s="10"/>
      <c r="G846" s="10"/>
      <c r="H846" s="10"/>
      <c r="I846" s="10"/>
      <c r="J846" s="10"/>
      <c r="K846" s="22"/>
      <c r="L846" s="10"/>
      <c r="M846" s="236">
        <f t="shared" si="13"/>
        <v>2024088</v>
      </c>
    </row>
    <row r="847" spans="1:13" x14ac:dyDescent="0.3">
      <c r="A847" s="2">
        <v>2024089</v>
      </c>
      <c r="B847" s="10"/>
      <c r="C847" s="10"/>
      <c r="D847" s="10"/>
      <c r="E847" s="10"/>
      <c r="F847" s="10"/>
      <c r="G847" s="10"/>
      <c r="H847" s="10"/>
      <c r="I847" s="10"/>
      <c r="J847" s="10"/>
      <c r="K847" s="22"/>
      <c r="L847" s="10"/>
      <c r="M847" s="236">
        <f t="shared" si="13"/>
        <v>2024089</v>
      </c>
    </row>
    <row r="848" spans="1:13" x14ac:dyDescent="0.3">
      <c r="A848" s="2">
        <v>2024090</v>
      </c>
      <c r="B848" s="10"/>
      <c r="C848" s="10"/>
      <c r="D848" s="10"/>
      <c r="E848" s="10"/>
      <c r="F848" s="10"/>
      <c r="G848" s="10"/>
      <c r="H848" s="10"/>
      <c r="I848" s="10"/>
      <c r="J848" s="10"/>
      <c r="K848" s="22"/>
      <c r="L848" s="10"/>
      <c r="M848" s="236">
        <f t="shared" si="13"/>
        <v>2024090</v>
      </c>
    </row>
    <row r="849" spans="1:13" x14ac:dyDescent="0.3">
      <c r="A849" s="2">
        <v>2024091</v>
      </c>
      <c r="B849" s="10"/>
      <c r="C849" s="10"/>
      <c r="D849" s="10"/>
      <c r="E849" s="10"/>
      <c r="F849" s="10"/>
      <c r="G849" s="10"/>
      <c r="H849" s="10"/>
      <c r="I849" s="10"/>
      <c r="J849" s="10"/>
      <c r="K849" s="22"/>
      <c r="L849" s="10"/>
      <c r="M849" s="236">
        <f t="shared" si="13"/>
        <v>2024091</v>
      </c>
    </row>
    <row r="850" spans="1:13" x14ac:dyDescent="0.3">
      <c r="A850" s="2">
        <v>2024092</v>
      </c>
      <c r="B850" s="10"/>
      <c r="C850" s="10"/>
      <c r="D850" s="10"/>
      <c r="E850" s="10"/>
      <c r="F850" s="10"/>
      <c r="G850" s="10"/>
      <c r="H850" s="10"/>
      <c r="I850" s="10"/>
      <c r="J850" s="10"/>
      <c r="K850" s="22"/>
      <c r="L850" s="10"/>
      <c r="M850" s="236">
        <f t="shared" si="13"/>
        <v>2024092</v>
      </c>
    </row>
    <row r="851" spans="1:13" x14ac:dyDescent="0.3">
      <c r="A851" s="2">
        <v>2024093</v>
      </c>
      <c r="B851" s="10"/>
      <c r="C851" s="10"/>
      <c r="D851" s="10"/>
      <c r="E851" s="10"/>
      <c r="F851" s="10"/>
      <c r="G851" s="10"/>
      <c r="H851" s="10"/>
      <c r="I851" s="10"/>
      <c r="J851" s="10"/>
      <c r="K851" s="22"/>
      <c r="L851" s="10"/>
      <c r="M851" s="236">
        <f t="shared" si="13"/>
        <v>2024093</v>
      </c>
    </row>
    <row r="852" spans="1:13" x14ac:dyDescent="0.3">
      <c r="A852" s="2">
        <v>2024094</v>
      </c>
      <c r="B852" s="10"/>
      <c r="C852" s="10"/>
      <c r="D852" s="10"/>
      <c r="E852" s="10"/>
      <c r="F852" s="10"/>
      <c r="G852" s="10"/>
      <c r="H852" s="10"/>
      <c r="I852" s="10"/>
      <c r="J852" s="10"/>
      <c r="K852" s="22"/>
      <c r="L852" s="10"/>
      <c r="M852" s="236">
        <f t="shared" si="13"/>
        <v>2024094</v>
      </c>
    </row>
    <row r="853" spans="1:13" x14ac:dyDescent="0.3">
      <c r="A853" s="2">
        <v>2024095</v>
      </c>
      <c r="B853" s="10"/>
      <c r="C853" s="10"/>
      <c r="D853" s="10"/>
      <c r="E853" s="10"/>
      <c r="F853" s="10"/>
      <c r="G853" s="10"/>
      <c r="H853" s="10"/>
      <c r="I853" s="10"/>
      <c r="J853" s="10"/>
      <c r="K853" s="22"/>
      <c r="L853" s="10"/>
      <c r="M853" s="236">
        <f t="shared" si="13"/>
        <v>2024095</v>
      </c>
    </row>
    <row r="854" spans="1:13" x14ac:dyDescent="0.3">
      <c r="A854" s="2">
        <v>2024096</v>
      </c>
      <c r="B854" s="10"/>
      <c r="C854" s="10"/>
      <c r="D854" s="10"/>
      <c r="E854" s="10"/>
      <c r="F854" s="10"/>
      <c r="G854" s="10"/>
      <c r="H854" s="10"/>
      <c r="I854" s="10"/>
      <c r="J854" s="10"/>
      <c r="K854" s="22"/>
      <c r="L854" s="10"/>
      <c r="M854" s="236">
        <f t="shared" si="13"/>
        <v>2024096</v>
      </c>
    </row>
    <row r="855" spans="1:13" x14ac:dyDescent="0.3">
      <c r="A855" s="2">
        <v>2024097</v>
      </c>
      <c r="B855" s="10"/>
      <c r="C855" s="10"/>
      <c r="D855" s="10"/>
      <c r="E855" s="10"/>
      <c r="F855" s="10"/>
      <c r="G855" s="10"/>
      <c r="H855" s="10"/>
      <c r="I855" s="10"/>
      <c r="J855" s="10"/>
      <c r="K855" s="22"/>
      <c r="L855" s="10"/>
      <c r="M855" s="236">
        <f t="shared" si="13"/>
        <v>2024097</v>
      </c>
    </row>
    <row r="856" spans="1:13" x14ac:dyDescent="0.3">
      <c r="A856" s="2">
        <v>2024098</v>
      </c>
      <c r="B856" s="10"/>
      <c r="C856" s="10"/>
      <c r="D856" s="10"/>
      <c r="E856" s="10"/>
      <c r="F856" s="10"/>
      <c r="G856" s="10"/>
      <c r="H856" s="10"/>
      <c r="I856" s="10"/>
      <c r="J856" s="10"/>
      <c r="K856" s="22"/>
      <c r="L856" s="10"/>
      <c r="M856" s="236">
        <f t="shared" si="13"/>
        <v>2024098</v>
      </c>
    </row>
    <row r="857" spans="1:13" x14ac:dyDescent="0.3">
      <c r="A857" s="2">
        <v>2024099</v>
      </c>
      <c r="B857" s="10"/>
      <c r="C857" s="10"/>
      <c r="D857" s="10"/>
      <c r="E857" s="10"/>
      <c r="F857" s="10"/>
      <c r="G857" s="10"/>
      <c r="H857" s="10"/>
      <c r="I857" s="10"/>
      <c r="J857" s="10"/>
      <c r="K857" s="22"/>
      <c r="L857" s="10"/>
      <c r="M857" s="236">
        <f t="shared" si="13"/>
        <v>2024099</v>
      </c>
    </row>
    <row r="858" spans="1:13" x14ac:dyDescent="0.3">
      <c r="A858" s="2">
        <v>2024100</v>
      </c>
      <c r="B858" s="10"/>
      <c r="C858" s="10"/>
      <c r="D858" s="10"/>
      <c r="E858" s="10"/>
      <c r="F858" s="10"/>
      <c r="G858" s="10"/>
      <c r="H858" s="10"/>
      <c r="I858" s="10"/>
      <c r="J858" s="10"/>
      <c r="K858" s="22"/>
      <c r="L858" s="10"/>
      <c r="M858" s="236">
        <f t="shared" si="13"/>
        <v>2024100</v>
      </c>
    </row>
  </sheetData>
  <sortState xmlns:xlrd2="http://schemas.microsoft.com/office/spreadsheetml/2017/richdata2" ref="A2:L858">
    <sortCondition ref="C2:C858"/>
  </sortState>
  <phoneticPr fontId="20" type="noConversion"/>
  <pageMargins left="0.7" right="0.7" top="0.75" bottom="0.75" header="0.3" footer="0.3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DE14-9BF5-4F88-85E2-6BAEE882DB85}">
  <dimension ref="A1:J155"/>
  <sheetViews>
    <sheetView workbookViewId="0">
      <selection activeCell="A4" sqref="A4"/>
    </sheetView>
  </sheetViews>
  <sheetFormatPr baseColWidth="10" defaultRowHeight="13.2" x14ac:dyDescent="0.25"/>
  <cols>
    <col min="1" max="1" width="9.109375" style="205" customWidth="1"/>
    <col min="2" max="2" width="30" style="205" customWidth="1"/>
    <col min="3" max="3" width="14.6640625" style="205" customWidth="1"/>
    <col min="4" max="4" width="14.44140625" style="205" customWidth="1"/>
    <col min="5" max="254" width="11.5546875" style="205"/>
    <col min="255" max="255" width="4.88671875" style="205" customWidth="1"/>
    <col min="256" max="256" width="30" style="205" customWidth="1"/>
    <col min="257" max="257" width="14.6640625" style="205" customWidth="1"/>
    <col min="258" max="258" width="14.44140625" style="205" customWidth="1"/>
    <col min="259" max="265" width="11.5546875" style="205"/>
    <col min="266" max="266" width="23.88671875" style="205" customWidth="1"/>
    <col min="267" max="510" width="11.5546875" style="205"/>
    <col min="511" max="511" width="4.88671875" style="205" customWidth="1"/>
    <col min="512" max="512" width="30" style="205" customWidth="1"/>
    <col min="513" max="513" width="14.6640625" style="205" customWidth="1"/>
    <col min="514" max="514" width="14.44140625" style="205" customWidth="1"/>
    <col min="515" max="521" width="11.5546875" style="205"/>
    <col min="522" max="522" width="23.88671875" style="205" customWidth="1"/>
    <col min="523" max="766" width="11.5546875" style="205"/>
    <col min="767" max="767" width="4.88671875" style="205" customWidth="1"/>
    <col min="768" max="768" width="30" style="205" customWidth="1"/>
    <col min="769" max="769" width="14.6640625" style="205" customWidth="1"/>
    <col min="770" max="770" width="14.44140625" style="205" customWidth="1"/>
    <col min="771" max="777" width="11.5546875" style="205"/>
    <col min="778" max="778" width="23.88671875" style="205" customWidth="1"/>
    <col min="779" max="1022" width="11.5546875" style="205"/>
    <col min="1023" max="1023" width="4.88671875" style="205" customWidth="1"/>
    <col min="1024" max="1024" width="30" style="205" customWidth="1"/>
    <col min="1025" max="1025" width="14.6640625" style="205" customWidth="1"/>
    <col min="1026" max="1026" width="14.44140625" style="205" customWidth="1"/>
    <col min="1027" max="1033" width="11.5546875" style="205"/>
    <col min="1034" max="1034" width="23.88671875" style="205" customWidth="1"/>
    <col min="1035" max="1278" width="11.5546875" style="205"/>
    <col min="1279" max="1279" width="4.88671875" style="205" customWidth="1"/>
    <col min="1280" max="1280" width="30" style="205" customWidth="1"/>
    <col min="1281" max="1281" width="14.6640625" style="205" customWidth="1"/>
    <col min="1282" max="1282" width="14.44140625" style="205" customWidth="1"/>
    <col min="1283" max="1289" width="11.5546875" style="205"/>
    <col min="1290" max="1290" width="23.88671875" style="205" customWidth="1"/>
    <col min="1291" max="1534" width="11.5546875" style="205"/>
    <col min="1535" max="1535" width="4.88671875" style="205" customWidth="1"/>
    <col min="1536" max="1536" width="30" style="205" customWidth="1"/>
    <col min="1537" max="1537" width="14.6640625" style="205" customWidth="1"/>
    <col min="1538" max="1538" width="14.44140625" style="205" customWidth="1"/>
    <col min="1539" max="1545" width="11.5546875" style="205"/>
    <col min="1546" max="1546" width="23.88671875" style="205" customWidth="1"/>
    <col min="1547" max="1790" width="11.5546875" style="205"/>
    <col min="1791" max="1791" width="4.88671875" style="205" customWidth="1"/>
    <col min="1792" max="1792" width="30" style="205" customWidth="1"/>
    <col min="1793" max="1793" width="14.6640625" style="205" customWidth="1"/>
    <col min="1794" max="1794" width="14.44140625" style="205" customWidth="1"/>
    <col min="1795" max="1801" width="11.5546875" style="205"/>
    <col min="1802" max="1802" width="23.88671875" style="205" customWidth="1"/>
    <col min="1803" max="2046" width="11.5546875" style="205"/>
    <col min="2047" max="2047" width="4.88671875" style="205" customWidth="1"/>
    <col min="2048" max="2048" width="30" style="205" customWidth="1"/>
    <col min="2049" max="2049" width="14.6640625" style="205" customWidth="1"/>
    <col min="2050" max="2050" width="14.44140625" style="205" customWidth="1"/>
    <col min="2051" max="2057" width="11.5546875" style="205"/>
    <col min="2058" max="2058" width="23.88671875" style="205" customWidth="1"/>
    <col min="2059" max="2302" width="11.5546875" style="205"/>
    <col min="2303" max="2303" width="4.88671875" style="205" customWidth="1"/>
    <col min="2304" max="2304" width="30" style="205" customWidth="1"/>
    <col min="2305" max="2305" width="14.6640625" style="205" customWidth="1"/>
    <col min="2306" max="2306" width="14.44140625" style="205" customWidth="1"/>
    <col min="2307" max="2313" width="11.5546875" style="205"/>
    <col min="2314" max="2314" width="23.88671875" style="205" customWidth="1"/>
    <col min="2315" max="2558" width="11.5546875" style="205"/>
    <col min="2559" max="2559" width="4.88671875" style="205" customWidth="1"/>
    <col min="2560" max="2560" width="30" style="205" customWidth="1"/>
    <col min="2561" max="2561" width="14.6640625" style="205" customWidth="1"/>
    <col min="2562" max="2562" width="14.44140625" style="205" customWidth="1"/>
    <col min="2563" max="2569" width="11.5546875" style="205"/>
    <col min="2570" max="2570" width="23.88671875" style="205" customWidth="1"/>
    <col min="2571" max="2814" width="11.5546875" style="205"/>
    <col min="2815" max="2815" width="4.88671875" style="205" customWidth="1"/>
    <col min="2816" max="2816" width="30" style="205" customWidth="1"/>
    <col min="2817" max="2817" width="14.6640625" style="205" customWidth="1"/>
    <col min="2818" max="2818" width="14.44140625" style="205" customWidth="1"/>
    <col min="2819" max="2825" width="11.5546875" style="205"/>
    <col min="2826" max="2826" width="23.88671875" style="205" customWidth="1"/>
    <col min="2827" max="3070" width="11.5546875" style="205"/>
    <col min="3071" max="3071" width="4.88671875" style="205" customWidth="1"/>
    <col min="3072" max="3072" width="30" style="205" customWidth="1"/>
    <col min="3073" max="3073" width="14.6640625" style="205" customWidth="1"/>
    <col min="3074" max="3074" width="14.44140625" style="205" customWidth="1"/>
    <col min="3075" max="3081" width="11.5546875" style="205"/>
    <col min="3082" max="3082" width="23.88671875" style="205" customWidth="1"/>
    <col min="3083" max="3326" width="11.5546875" style="205"/>
    <col min="3327" max="3327" width="4.88671875" style="205" customWidth="1"/>
    <col min="3328" max="3328" width="30" style="205" customWidth="1"/>
    <col min="3329" max="3329" width="14.6640625" style="205" customWidth="1"/>
    <col min="3330" max="3330" width="14.44140625" style="205" customWidth="1"/>
    <col min="3331" max="3337" width="11.5546875" style="205"/>
    <col min="3338" max="3338" width="23.88671875" style="205" customWidth="1"/>
    <col min="3339" max="3582" width="11.5546875" style="205"/>
    <col min="3583" max="3583" width="4.88671875" style="205" customWidth="1"/>
    <col min="3584" max="3584" width="30" style="205" customWidth="1"/>
    <col min="3585" max="3585" width="14.6640625" style="205" customWidth="1"/>
    <col min="3586" max="3586" width="14.44140625" style="205" customWidth="1"/>
    <col min="3587" max="3593" width="11.5546875" style="205"/>
    <col min="3594" max="3594" width="23.88671875" style="205" customWidth="1"/>
    <col min="3595" max="3838" width="11.5546875" style="205"/>
    <col min="3839" max="3839" width="4.88671875" style="205" customWidth="1"/>
    <col min="3840" max="3840" width="30" style="205" customWidth="1"/>
    <col min="3841" max="3841" width="14.6640625" style="205" customWidth="1"/>
    <col min="3842" max="3842" width="14.44140625" style="205" customWidth="1"/>
    <col min="3843" max="3849" width="11.5546875" style="205"/>
    <col min="3850" max="3850" width="23.88671875" style="205" customWidth="1"/>
    <col min="3851" max="4094" width="11.5546875" style="205"/>
    <col min="4095" max="4095" width="4.88671875" style="205" customWidth="1"/>
    <col min="4096" max="4096" width="30" style="205" customWidth="1"/>
    <col min="4097" max="4097" width="14.6640625" style="205" customWidth="1"/>
    <col min="4098" max="4098" width="14.44140625" style="205" customWidth="1"/>
    <col min="4099" max="4105" width="11.5546875" style="205"/>
    <col min="4106" max="4106" width="23.88671875" style="205" customWidth="1"/>
    <col min="4107" max="4350" width="11.5546875" style="205"/>
    <col min="4351" max="4351" width="4.88671875" style="205" customWidth="1"/>
    <col min="4352" max="4352" width="30" style="205" customWidth="1"/>
    <col min="4353" max="4353" width="14.6640625" style="205" customWidth="1"/>
    <col min="4354" max="4354" width="14.44140625" style="205" customWidth="1"/>
    <col min="4355" max="4361" width="11.5546875" style="205"/>
    <col min="4362" max="4362" width="23.88671875" style="205" customWidth="1"/>
    <col min="4363" max="4606" width="11.5546875" style="205"/>
    <col min="4607" max="4607" width="4.88671875" style="205" customWidth="1"/>
    <col min="4608" max="4608" width="30" style="205" customWidth="1"/>
    <col min="4609" max="4609" width="14.6640625" style="205" customWidth="1"/>
    <col min="4610" max="4610" width="14.44140625" style="205" customWidth="1"/>
    <col min="4611" max="4617" width="11.5546875" style="205"/>
    <col min="4618" max="4618" width="23.88671875" style="205" customWidth="1"/>
    <col min="4619" max="4862" width="11.5546875" style="205"/>
    <col min="4863" max="4863" width="4.88671875" style="205" customWidth="1"/>
    <col min="4864" max="4864" width="30" style="205" customWidth="1"/>
    <col min="4865" max="4865" width="14.6640625" style="205" customWidth="1"/>
    <col min="4866" max="4866" width="14.44140625" style="205" customWidth="1"/>
    <col min="4867" max="4873" width="11.5546875" style="205"/>
    <col min="4874" max="4874" width="23.88671875" style="205" customWidth="1"/>
    <col min="4875" max="5118" width="11.5546875" style="205"/>
    <col min="5119" max="5119" width="4.88671875" style="205" customWidth="1"/>
    <col min="5120" max="5120" width="30" style="205" customWidth="1"/>
    <col min="5121" max="5121" width="14.6640625" style="205" customWidth="1"/>
    <col min="5122" max="5122" width="14.44140625" style="205" customWidth="1"/>
    <col min="5123" max="5129" width="11.5546875" style="205"/>
    <col min="5130" max="5130" width="23.88671875" style="205" customWidth="1"/>
    <col min="5131" max="5374" width="11.5546875" style="205"/>
    <col min="5375" max="5375" width="4.88671875" style="205" customWidth="1"/>
    <col min="5376" max="5376" width="30" style="205" customWidth="1"/>
    <col min="5377" max="5377" width="14.6640625" style="205" customWidth="1"/>
    <col min="5378" max="5378" width="14.44140625" style="205" customWidth="1"/>
    <col min="5379" max="5385" width="11.5546875" style="205"/>
    <col min="5386" max="5386" width="23.88671875" style="205" customWidth="1"/>
    <col min="5387" max="5630" width="11.5546875" style="205"/>
    <col min="5631" max="5631" width="4.88671875" style="205" customWidth="1"/>
    <col min="5632" max="5632" width="30" style="205" customWidth="1"/>
    <col min="5633" max="5633" width="14.6640625" style="205" customWidth="1"/>
    <col min="5634" max="5634" width="14.44140625" style="205" customWidth="1"/>
    <col min="5635" max="5641" width="11.5546875" style="205"/>
    <col min="5642" max="5642" width="23.88671875" style="205" customWidth="1"/>
    <col min="5643" max="5886" width="11.5546875" style="205"/>
    <col min="5887" max="5887" width="4.88671875" style="205" customWidth="1"/>
    <col min="5888" max="5888" width="30" style="205" customWidth="1"/>
    <col min="5889" max="5889" width="14.6640625" style="205" customWidth="1"/>
    <col min="5890" max="5890" width="14.44140625" style="205" customWidth="1"/>
    <col min="5891" max="5897" width="11.5546875" style="205"/>
    <col min="5898" max="5898" width="23.88671875" style="205" customWidth="1"/>
    <col min="5899" max="6142" width="11.5546875" style="205"/>
    <col min="6143" max="6143" width="4.88671875" style="205" customWidth="1"/>
    <col min="6144" max="6144" width="30" style="205" customWidth="1"/>
    <col min="6145" max="6145" width="14.6640625" style="205" customWidth="1"/>
    <col min="6146" max="6146" width="14.44140625" style="205" customWidth="1"/>
    <col min="6147" max="6153" width="11.5546875" style="205"/>
    <col min="6154" max="6154" width="23.88671875" style="205" customWidth="1"/>
    <col min="6155" max="6398" width="11.5546875" style="205"/>
    <col min="6399" max="6399" width="4.88671875" style="205" customWidth="1"/>
    <col min="6400" max="6400" width="30" style="205" customWidth="1"/>
    <col min="6401" max="6401" width="14.6640625" style="205" customWidth="1"/>
    <col min="6402" max="6402" width="14.44140625" style="205" customWidth="1"/>
    <col min="6403" max="6409" width="11.5546875" style="205"/>
    <col min="6410" max="6410" width="23.88671875" style="205" customWidth="1"/>
    <col min="6411" max="6654" width="11.5546875" style="205"/>
    <col min="6655" max="6655" width="4.88671875" style="205" customWidth="1"/>
    <col min="6656" max="6656" width="30" style="205" customWidth="1"/>
    <col min="6657" max="6657" width="14.6640625" style="205" customWidth="1"/>
    <col min="6658" max="6658" width="14.44140625" style="205" customWidth="1"/>
    <col min="6659" max="6665" width="11.5546875" style="205"/>
    <col min="6666" max="6666" width="23.88671875" style="205" customWidth="1"/>
    <col min="6667" max="6910" width="11.5546875" style="205"/>
    <col min="6911" max="6911" width="4.88671875" style="205" customWidth="1"/>
    <col min="6912" max="6912" width="30" style="205" customWidth="1"/>
    <col min="6913" max="6913" width="14.6640625" style="205" customWidth="1"/>
    <col min="6914" max="6914" width="14.44140625" style="205" customWidth="1"/>
    <col min="6915" max="6921" width="11.5546875" style="205"/>
    <col min="6922" max="6922" width="23.88671875" style="205" customWidth="1"/>
    <col min="6923" max="7166" width="11.5546875" style="205"/>
    <col min="7167" max="7167" width="4.88671875" style="205" customWidth="1"/>
    <col min="7168" max="7168" width="30" style="205" customWidth="1"/>
    <col min="7169" max="7169" width="14.6640625" style="205" customWidth="1"/>
    <col min="7170" max="7170" width="14.44140625" style="205" customWidth="1"/>
    <col min="7171" max="7177" width="11.5546875" style="205"/>
    <col min="7178" max="7178" width="23.88671875" style="205" customWidth="1"/>
    <col min="7179" max="7422" width="11.5546875" style="205"/>
    <col min="7423" max="7423" width="4.88671875" style="205" customWidth="1"/>
    <col min="7424" max="7424" width="30" style="205" customWidth="1"/>
    <col min="7425" max="7425" width="14.6640625" style="205" customWidth="1"/>
    <col min="7426" max="7426" width="14.44140625" style="205" customWidth="1"/>
    <col min="7427" max="7433" width="11.5546875" style="205"/>
    <col min="7434" max="7434" width="23.88671875" style="205" customWidth="1"/>
    <col min="7435" max="7678" width="11.5546875" style="205"/>
    <col min="7679" max="7679" width="4.88671875" style="205" customWidth="1"/>
    <col min="7680" max="7680" width="30" style="205" customWidth="1"/>
    <col min="7681" max="7681" width="14.6640625" style="205" customWidth="1"/>
    <col min="7682" max="7682" width="14.44140625" style="205" customWidth="1"/>
    <col min="7683" max="7689" width="11.5546875" style="205"/>
    <col min="7690" max="7690" width="23.88671875" style="205" customWidth="1"/>
    <col min="7691" max="7934" width="11.5546875" style="205"/>
    <col min="7935" max="7935" width="4.88671875" style="205" customWidth="1"/>
    <col min="7936" max="7936" width="30" style="205" customWidth="1"/>
    <col min="7937" max="7937" width="14.6640625" style="205" customWidth="1"/>
    <col min="7938" max="7938" width="14.44140625" style="205" customWidth="1"/>
    <col min="7939" max="7945" width="11.5546875" style="205"/>
    <col min="7946" max="7946" width="23.88671875" style="205" customWidth="1"/>
    <col min="7947" max="8190" width="11.5546875" style="205"/>
    <col min="8191" max="8191" width="4.88671875" style="205" customWidth="1"/>
    <col min="8192" max="8192" width="30" style="205" customWidth="1"/>
    <col min="8193" max="8193" width="14.6640625" style="205" customWidth="1"/>
    <col min="8194" max="8194" width="14.44140625" style="205" customWidth="1"/>
    <col min="8195" max="8201" width="11.5546875" style="205"/>
    <col min="8202" max="8202" width="23.88671875" style="205" customWidth="1"/>
    <col min="8203" max="8446" width="11.5546875" style="205"/>
    <col min="8447" max="8447" width="4.88671875" style="205" customWidth="1"/>
    <col min="8448" max="8448" width="30" style="205" customWidth="1"/>
    <col min="8449" max="8449" width="14.6640625" style="205" customWidth="1"/>
    <col min="8450" max="8450" width="14.44140625" style="205" customWidth="1"/>
    <col min="8451" max="8457" width="11.5546875" style="205"/>
    <col min="8458" max="8458" width="23.88671875" style="205" customWidth="1"/>
    <col min="8459" max="8702" width="11.5546875" style="205"/>
    <col min="8703" max="8703" width="4.88671875" style="205" customWidth="1"/>
    <col min="8704" max="8704" width="30" style="205" customWidth="1"/>
    <col min="8705" max="8705" width="14.6640625" style="205" customWidth="1"/>
    <col min="8706" max="8706" width="14.44140625" style="205" customWidth="1"/>
    <col min="8707" max="8713" width="11.5546875" style="205"/>
    <col min="8714" max="8714" width="23.88671875" style="205" customWidth="1"/>
    <col min="8715" max="8958" width="11.5546875" style="205"/>
    <col min="8959" max="8959" width="4.88671875" style="205" customWidth="1"/>
    <col min="8960" max="8960" width="30" style="205" customWidth="1"/>
    <col min="8961" max="8961" width="14.6640625" style="205" customWidth="1"/>
    <col min="8962" max="8962" width="14.44140625" style="205" customWidth="1"/>
    <col min="8963" max="8969" width="11.5546875" style="205"/>
    <col min="8970" max="8970" width="23.88671875" style="205" customWidth="1"/>
    <col min="8971" max="9214" width="11.5546875" style="205"/>
    <col min="9215" max="9215" width="4.88671875" style="205" customWidth="1"/>
    <col min="9216" max="9216" width="30" style="205" customWidth="1"/>
    <col min="9217" max="9217" width="14.6640625" style="205" customWidth="1"/>
    <col min="9218" max="9218" width="14.44140625" style="205" customWidth="1"/>
    <col min="9219" max="9225" width="11.5546875" style="205"/>
    <col min="9226" max="9226" width="23.88671875" style="205" customWidth="1"/>
    <col min="9227" max="9470" width="11.5546875" style="205"/>
    <col min="9471" max="9471" width="4.88671875" style="205" customWidth="1"/>
    <col min="9472" max="9472" width="30" style="205" customWidth="1"/>
    <col min="9473" max="9473" width="14.6640625" style="205" customWidth="1"/>
    <col min="9474" max="9474" width="14.44140625" style="205" customWidth="1"/>
    <col min="9475" max="9481" width="11.5546875" style="205"/>
    <col min="9482" max="9482" width="23.88671875" style="205" customWidth="1"/>
    <col min="9483" max="9726" width="11.5546875" style="205"/>
    <col min="9727" max="9727" width="4.88671875" style="205" customWidth="1"/>
    <col min="9728" max="9728" width="30" style="205" customWidth="1"/>
    <col min="9729" max="9729" width="14.6640625" style="205" customWidth="1"/>
    <col min="9730" max="9730" width="14.44140625" style="205" customWidth="1"/>
    <col min="9731" max="9737" width="11.5546875" style="205"/>
    <col min="9738" max="9738" width="23.88671875" style="205" customWidth="1"/>
    <col min="9739" max="9982" width="11.5546875" style="205"/>
    <col min="9983" max="9983" width="4.88671875" style="205" customWidth="1"/>
    <col min="9984" max="9984" width="30" style="205" customWidth="1"/>
    <col min="9985" max="9985" width="14.6640625" style="205" customWidth="1"/>
    <col min="9986" max="9986" width="14.44140625" style="205" customWidth="1"/>
    <col min="9987" max="9993" width="11.5546875" style="205"/>
    <col min="9994" max="9994" width="23.88671875" style="205" customWidth="1"/>
    <col min="9995" max="10238" width="11.5546875" style="205"/>
    <col min="10239" max="10239" width="4.88671875" style="205" customWidth="1"/>
    <col min="10240" max="10240" width="30" style="205" customWidth="1"/>
    <col min="10241" max="10241" width="14.6640625" style="205" customWidth="1"/>
    <col min="10242" max="10242" width="14.44140625" style="205" customWidth="1"/>
    <col min="10243" max="10249" width="11.5546875" style="205"/>
    <col min="10250" max="10250" width="23.88671875" style="205" customWidth="1"/>
    <col min="10251" max="10494" width="11.5546875" style="205"/>
    <col min="10495" max="10495" width="4.88671875" style="205" customWidth="1"/>
    <col min="10496" max="10496" width="30" style="205" customWidth="1"/>
    <col min="10497" max="10497" width="14.6640625" style="205" customWidth="1"/>
    <col min="10498" max="10498" width="14.44140625" style="205" customWidth="1"/>
    <col min="10499" max="10505" width="11.5546875" style="205"/>
    <col min="10506" max="10506" width="23.88671875" style="205" customWidth="1"/>
    <col min="10507" max="10750" width="11.5546875" style="205"/>
    <col min="10751" max="10751" width="4.88671875" style="205" customWidth="1"/>
    <col min="10752" max="10752" width="30" style="205" customWidth="1"/>
    <col min="10753" max="10753" width="14.6640625" style="205" customWidth="1"/>
    <col min="10754" max="10754" width="14.44140625" style="205" customWidth="1"/>
    <col min="10755" max="10761" width="11.5546875" style="205"/>
    <col min="10762" max="10762" width="23.88671875" style="205" customWidth="1"/>
    <col min="10763" max="11006" width="11.5546875" style="205"/>
    <col min="11007" max="11007" width="4.88671875" style="205" customWidth="1"/>
    <col min="11008" max="11008" width="30" style="205" customWidth="1"/>
    <col min="11009" max="11009" width="14.6640625" style="205" customWidth="1"/>
    <col min="11010" max="11010" width="14.44140625" style="205" customWidth="1"/>
    <col min="11011" max="11017" width="11.5546875" style="205"/>
    <col min="11018" max="11018" width="23.88671875" style="205" customWidth="1"/>
    <col min="11019" max="11262" width="11.5546875" style="205"/>
    <col min="11263" max="11263" width="4.88671875" style="205" customWidth="1"/>
    <col min="11264" max="11264" width="30" style="205" customWidth="1"/>
    <col min="11265" max="11265" width="14.6640625" style="205" customWidth="1"/>
    <col min="11266" max="11266" width="14.44140625" style="205" customWidth="1"/>
    <col min="11267" max="11273" width="11.5546875" style="205"/>
    <col min="11274" max="11274" width="23.88671875" style="205" customWidth="1"/>
    <col min="11275" max="11518" width="11.5546875" style="205"/>
    <col min="11519" max="11519" width="4.88671875" style="205" customWidth="1"/>
    <col min="11520" max="11520" width="30" style="205" customWidth="1"/>
    <col min="11521" max="11521" width="14.6640625" style="205" customWidth="1"/>
    <col min="11522" max="11522" width="14.44140625" style="205" customWidth="1"/>
    <col min="11523" max="11529" width="11.5546875" style="205"/>
    <col min="11530" max="11530" width="23.88671875" style="205" customWidth="1"/>
    <col min="11531" max="11774" width="11.5546875" style="205"/>
    <col min="11775" max="11775" width="4.88671875" style="205" customWidth="1"/>
    <col min="11776" max="11776" width="30" style="205" customWidth="1"/>
    <col min="11777" max="11777" width="14.6640625" style="205" customWidth="1"/>
    <col min="11778" max="11778" width="14.44140625" style="205" customWidth="1"/>
    <col min="11779" max="11785" width="11.5546875" style="205"/>
    <col min="11786" max="11786" width="23.88671875" style="205" customWidth="1"/>
    <col min="11787" max="12030" width="11.5546875" style="205"/>
    <col min="12031" max="12031" width="4.88671875" style="205" customWidth="1"/>
    <col min="12032" max="12032" width="30" style="205" customWidth="1"/>
    <col min="12033" max="12033" width="14.6640625" style="205" customWidth="1"/>
    <col min="12034" max="12034" width="14.44140625" style="205" customWidth="1"/>
    <col min="12035" max="12041" width="11.5546875" style="205"/>
    <col min="12042" max="12042" width="23.88671875" style="205" customWidth="1"/>
    <col min="12043" max="12286" width="11.5546875" style="205"/>
    <col min="12287" max="12287" width="4.88671875" style="205" customWidth="1"/>
    <col min="12288" max="12288" width="30" style="205" customWidth="1"/>
    <col min="12289" max="12289" width="14.6640625" style="205" customWidth="1"/>
    <col min="12290" max="12290" width="14.44140625" style="205" customWidth="1"/>
    <col min="12291" max="12297" width="11.5546875" style="205"/>
    <col min="12298" max="12298" width="23.88671875" style="205" customWidth="1"/>
    <col min="12299" max="12542" width="11.5546875" style="205"/>
    <col min="12543" max="12543" width="4.88671875" style="205" customWidth="1"/>
    <col min="12544" max="12544" width="30" style="205" customWidth="1"/>
    <col min="12545" max="12545" width="14.6640625" style="205" customWidth="1"/>
    <col min="12546" max="12546" width="14.44140625" style="205" customWidth="1"/>
    <col min="12547" max="12553" width="11.5546875" style="205"/>
    <col min="12554" max="12554" width="23.88671875" style="205" customWidth="1"/>
    <col min="12555" max="12798" width="11.5546875" style="205"/>
    <col min="12799" max="12799" width="4.88671875" style="205" customWidth="1"/>
    <col min="12800" max="12800" width="30" style="205" customWidth="1"/>
    <col min="12801" max="12801" width="14.6640625" style="205" customWidth="1"/>
    <col min="12802" max="12802" width="14.44140625" style="205" customWidth="1"/>
    <col min="12803" max="12809" width="11.5546875" style="205"/>
    <col min="12810" max="12810" width="23.88671875" style="205" customWidth="1"/>
    <col min="12811" max="13054" width="11.5546875" style="205"/>
    <col min="13055" max="13055" width="4.88671875" style="205" customWidth="1"/>
    <col min="13056" max="13056" width="30" style="205" customWidth="1"/>
    <col min="13057" max="13057" width="14.6640625" style="205" customWidth="1"/>
    <col min="13058" max="13058" width="14.44140625" style="205" customWidth="1"/>
    <col min="13059" max="13065" width="11.5546875" style="205"/>
    <col min="13066" max="13066" width="23.88671875" style="205" customWidth="1"/>
    <col min="13067" max="13310" width="11.5546875" style="205"/>
    <col min="13311" max="13311" width="4.88671875" style="205" customWidth="1"/>
    <col min="13312" max="13312" width="30" style="205" customWidth="1"/>
    <col min="13313" max="13313" width="14.6640625" style="205" customWidth="1"/>
    <col min="13314" max="13314" width="14.44140625" style="205" customWidth="1"/>
    <col min="13315" max="13321" width="11.5546875" style="205"/>
    <col min="13322" max="13322" width="23.88671875" style="205" customWidth="1"/>
    <col min="13323" max="13566" width="11.5546875" style="205"/>
    <col min="13567" max="13567" width="4.88671875" style="205" customWidth="1"/>
    <col min="13568" max="13568" width="30" style="205" customWidth="1"/>
    <col min="13569" max="13569" width="14.6640625" style="205" customWidth="1"/>
    <col min="13570" max="13570" width="14.44140625" style="205" customWidth="1"/>
    <col min="13571" max="13577" width="11.5546875" style="205"/>
    <col min="13578" max="13578" width="23.88671875" style="205" customWidth="1"/>
    <col min="13579" max="13822" width="11.5546875" style="205"/>
    <col min="13823" max="13823" width="4.88671875" style="205" customWidth="1"/>
    <col min="13824" max="13824" width="30" style="205" customWidth="1"/>
    <col min="13825" max="13825" width="14.6640625" style="205" customWidth="1"/>
    <col min="13826" max="13826" width="14.44140625" style="205" customWidth="1"/>
    <col min="13827" max="13833" width="11.5546875" style="205"/>
    <col min="13834" max="13834" width="23.88671875" style="205" customWidth="1"/>
    <col min="13835" max="14078" width="11.5546875" style="205"/>
    <col min="14079" max="14079" width="4.88671875" style="205" customWidth="1"/>
    <col min="14080" max="14080" width="30" style="205" customWidth="1"/>
    <col min="14081" max="14081" width="14.6640625" style="205" customWidth="1"/>
    <col min="14082" max="14082" width="14.44140625" style="205" customWidth="1"/>
    <col min="14083" max="14089" width="11.5546875" style="205"/>
    <col min="14090" max="14090" width="23.88671875" style="205" customWidth="1"/>
    <col min="14091" max="14334" width="11.5546875" style="205"/>
    <col min="14335" max="14335" width="4.88671875" style="205" customWidth="1"/>
    <col min="14336" max="14336" width="30" style="205" customWidth="1"/>
    <col min="14337" max="14337" width="14.6640625" style="205" customWidth="1"/>
    <col min="14338" max="14338" width="14.44140625" style="205" customWidth="1"/>
    <col min="14339" max="14345" width="11.5546875" style="205"/>
    <col min="14346" max="14346" width="23.88671875" style="205" customWidth="1"/>
    <col min="14347" max="14590" width="11.5546875" style="205"/>
    <col min="14591" max="14591" width="4.88671875" style="205" customWidth="1"/>
    <col min="14592" max="14592" width="30" style="205" customWidth="1"/>
    <col min="14593" max="14593" width="14.6640625" style="205" customWidth="1"/>
    <col min="14594" max="14594" width="14.44140625" style="205" customWidth="1"/>
    <col min="14595" max="14601" width="11.5546875" style="205"/>
    <col min="14602" max="14602" width="23.88671875" style="205" customWidth="1"/>
    <col min="14603" max="14846" width="11.5546875" style="205"/>
    <col min="14847" max="14847" width="4.88671875" style="205" customWidth="1"/>
    <col min="14848" max="14848" width="30" style="205" customWidth="1"/>
    <col min="14849" max="14849" width="14.6640625" style="205" customWidth="1"/>
    <col min="14850" max="14850" width="14.44140625" style="205" customWidth="1"/>
    <col min="14851" max="14857" width="11.5546875" style="205"/>
    <col min="14858" max="14858" width="23.88671875" style="205" customWidth="1"/>
    <col min="14859" max="15102" width="11.5546875" style="205"/>
    <col min="15103" max="15103" width="4.88671875" style="205" customWidth="1"/>
    <col min="15104" max="15104" width="30" style="205" customWidth="1"/>
    <col min="15105" max="15105" width="14.6640625" style="205" customWidth="1"/>
    <col min="15106" max="15106" width="14.44140625" style="205" customWidth="1"/>
    <col min="15107" max="15113" width="11.5546875" style="205"/>
    <col min="15114" max="15114" width="23.88671875" style="205" customWidth="1"/>
    <col min="15115" max="15358" width="11.5546875" style="205"/>
    <col min="15359" max="15359" width="4.88671875" style="205" customWidth="1"/>
    <col min="15360" max="15360" width="30" style="205" customWidth="1"/>
    <col min="15361" max="15361" width="14.6640625" style="205" customWidth="1"/>
    <col min="15362" max="15362" width="14.44140625" style="205" customWidth="1"/>
    <col min="15363" max="15369" width="11.5546875" style="205"/>
    <col min="15370" max="15370" width="23.88671875" style="205" customWidth="1"/>
    <col min="15371" max="15614" width="11.5546875" style="205"/>
    <col min="15615" max="15615" width="4.88671875" style="205" customWidth="1"/>
    <col min="15616" max="15616" width="30" style="205" customWidth="1"/>
    <col min="15617" max="15617" width="14.6640625" style="205" customWidth="1"/>
    <col min="15618" max="15618" width="14.44140625" style="205" customWidth="1"/>
    <col min="15619" max="15625" width="11.5546875" style="205"/>
    <col min="15626" max="15626" width="23.88671875" style="205" customWidth="1"/>
    <col min="15627" max="15870" width="11.5546875" style="205"/>
    <col min="15871" max="15871" width="4.88671875" style="205" customWidth="1"/>
    <col min="15872" max="15872" width="30" style="205" customWidth="1"/>
    <col min="15873" max="15873" width="14.6640625" style="205" customWidth="1"/>
    <col min="15874" max="15874" width="14.44140625" style="205" customWidth="1"/>
    <col min="15875" max="15881" width="11.5546875" style="205"/>
    <col min="15882" max="15882" width="23.88671875" style="205" customWidth="1"/>
    <col min="15883" max="16126" width="11.5546875" style="205"/>
    <col min="16127" max="16127" width="4.88671875" style="205" customWidth="1"/>
    <col min="16128" max="16128" width="30" style="205" customWidth="1"/>
    <col min="16129" max="16129" width="14.6640625" style="205" customWidth="1"/>
    <col min="16130" max="16130" width="14.44140625" style="205" customWidth="1"/>
    <col min="16131" max="16137" width="11.5546875" style="205"/>
    <col min="16138" max="16138" width="23.88671875" style="205" customWidth="1"/>
    <col min="16139" max="16384" width="11.5546875" style="205"/>
  </cols>
  <sheetData>
    <row r="1" spans="1:10" ht="14.25" customHeight="1" thickBot="1" x14ac:dyDescent="0.3">
      <c r="B1" s="206" t="s">
        <v>2027</v>
      </c>
      <c r="C1" s="206"/>
      <c r="F1" s="207"/>
      <c r="J1" s="208"/>
    </row>
    <row r="2" spans="1:10" ht="14.25" customHeight="1" thickBot="1" x14ac:dyDescent="0.3">
      <c r="B2" s="209" t="s">
        <v>2208</v>
      </c>
      <c r="D2" s="210"/>
      <c r="E2" s="211" t="s">
        <v>2006</v>
      </c>
      <c r="F2" s="212" t="s">
        <v>175</v>
      </c>
      <c r="G2" s="213" t="s">
        <v>2028</v>
      </c>
      <c r="H2" s="214" t="s">
        <v>2041</v>
      </c>
      <c r="I2" s="214" t="s">
        <v>2041</v>
      </c>
      <c r="J2" s="215"/>
    </row>
    <row r="3" spans="1:10" ht="14.25" customHeight="1" thickBot="1" x14ac:dyDescent="0.3">
      <c r="B3" s="216">
        <v>2024</v>
      </c>
      <c r="C3" s="217"/>
      <c r="D3" s="218"/>
      <c r="E3" s="211" t="s">
        <v>2029</v>
      </c>
      <c r="F3" s="212" t="s">
        <v>2030</v>
      </c>
      <c r="G3" s="213" t="s">
        <v>2031</v>
      </c>
      <c r="H3" s="214" t="s">
        <v>2032</v>
      </c>
      <c r="I3" s="214" t="s">
        <v>2033</v>
      </c>
      <c r="J3" s="212" t="s">
        <v>2034</v>
      </c>
    </row>
    <row r="4" spans="1:10" ht="13.8" thickBot="1" x14ac:dyDescent="0.3">
      <c r="A4" s="219" t="s">
        <v>2035</v>
      </c>
      <c r="B4" s="214" t="s">
        <v>2036</v>
      </c>
      <c r="C4" s="213" t="s">
        <v>2037</v>
      </c>
      <c r="D4" s="213" t="s">
        <v>2038</v>
      </c>
      <c r="E4" s="213" t="s">
        <v>2039</v>
      </c>
      <c r="F4" s="212" t="s">
        <v>2039</v>
      </c>
      <c r="G4" s="213" t="s">
        <v>2039</v>
      </c>
      <c r="H4" s="212" t="s">
        <v>2039</v>
      </c>
      <c r="I4" s="212" t="s">
        <v>2039</v>
      </c>
      <c r="J4" s="212" t="s">
        <v>2040</v>
      </c>
    </row>
    <row r="5" spans="1:10" ht="13.5" customHeight="1" thickBot="1" x14ac:dyDescent="0.3">
      <c r="A5" s="220">
        <v>1</v>
      </c>
      <c r="B5" s="221" t="s">
        <v>2042</v>
      </c>
      <c r="C5" s="222" t="s">
        <v>2043</v>
      </c>
      <c r="D5" s="222" t="s">
        <v>2044</v>
      </c>
      <c r="E5" s="223">
        <v>160</v>
      </c>
      <c r="F5" s="224">
        <v>6000</v>
      </c>
      <c r="G5" s="225">
        <v>0</v>
      </c>
      <c r="H5" s="224">
        <f>IF(B5="","",(F5/E5)*G5)</f>
        <v>0</v>
      </c>
      <c r="I5" s="224">
        <v>0</v>
      </c>
      <c r="J5" s="226">
        <f>IF(B5="","",F5-H5-I5)</f>
        <v>6000</v>
      </c>
    </row>
    <row r="6" spans="1:10" ht="13.5" customHeight="1" thickBot="1" x14ac:dyDescent="0.3">
      <c r="A6" s="220">
        <f>A5+1</f>
        <v>2</v>
      </c>
      <c r="B6" s="221" t="s">
        <v>2045</v>
      </c>
      <c r="C6" s="222" t="s">
        <v>2046</v>
      </c>
      <c r="D6" s="222" t="s">
        <v>2047</v>
      </c>
      <c r="E6" s="227">
        <v>160</v>
      </c>
      <c r="F6" s="228">
        <v>6000</v>
      </c>
      <c r="G6" s="225">
        <v>0</v>
      </c>
      <c r="H6" s="224">
        <f t="shared" ref="H6:H69" si="0">IF(B6="","",(F6/E6)*G6)</f>
        <v>0</v>
      </c>
      <c r="I6" s="224">
        <v>0</v>
      </c>
      <c r="J6" s="226">
        <f t="shared" ref="J6:J69" si="1">IF(B6="","",F6-H6-I6)</f>
        <v>6000</v>
      </c>
    </row>
    <row r="7" spans="1:10" ht="13.5" customHeight="1" thickBot="1" x14ac:dyDescent="0.3">
      <c r="A7" s="220">
        <f t="shared" ref="A7:A59" si="2">A6+1</f>
        <v>3</v>
      </c>
      <c r="B7" s="221" t="s">
        <v>2048</v>
      </c>
      <c r="C7" s="222" t="s">
        <v>2049</v>
      </c>
      <c r="D7" s="222" t="s">
        <v>2050</v>
      </c>
      <c r="E7" s="227">
        <v>160</v>
      </c>
      <c r="F7" s="228">
        <v>4500</v>
      </c>
      <c r="G7" s="225">
        <v>0</v>
      </c>
      <c r="H7" s="224">
        <f t="shared" si="0"/>
        <v>0</v>
      </c>
      <c r="I7" s="224">
        <v>0</v>
      </c>
      <c r="J7" s="226">
        <f t="shared" si="1"/>
        <v>4500</v>
      </c>
    </row>
    <row r="8" spans="1:10" ht="13.5" customHeight="1" thickBot="1" x14ac:dyDescent="0.3">
      <c r="A8" s="220">
        <f t="shared" si="2"/>
        <v>4</v>
      </c>
      <c r="B8" s="221" t="s">
        <v>2051</v>
      </c>
      <c r="C8" s="222" t="s">
        <v>2052</v>
      </c>
      <c r="D8" s="222" t="s">
        <v>2053</v>
      </c>
      <c r="E8" s="227">
        <v>160</v>
      </c>
      <c r="F8" s="228">
        <v>4500</v>
      </c>
      <c r="G8" s="225">
        <v>0</v>
      </c>
      <c r="H8" s="224">
        <f t="shared" si="0"/>
        <v>0</v>
      </c>
      <c r="I8" s="224">
        <v>0</v>
      </c>
      <c r="J8" s="226">
        <f t="shared" si="1"/>
        <v>4500</v>
      </c>
    </row>
    <row r="9" spans="1:10" ht="13.5" customHeight="1" thickBot="1" x14ac:dyDescent="0.3">
      <c r="A9" s="220">
        <f t="shared" si="2"/>
        <v>5</v>
      </c>
      <c r="B9" s="221" t="s">
        <v>2054</v>
      </c>
      <c r="C9" s="222" t="s">
        <v>364</v>
      </c>
      <c r="D9" s="222" t="s">
        <v>2055</v>
      </c>
      <c r="E9" s="227">
        <v>160</v>
      </c>
      <c r="F9" s="228">
        <v>2092</v>
      </c>
      <c r="G9" s="225">
        <v>0</v>
      </c>
      <c r="H9" s="224">
        <f t="shared" si="0"/>
        <v>0</v>
      </c>
      <c r="I9" s="224">
        <v>0</v>
      </c>
      <c r="J9" s="226">
        <f t="shared" si="1"/>
        <v>2092</v>
      </c>
    </row>
    <row r="10" spans="1:10" ht="13.5" customHeight="1" thickBot="1" x14ac:dyDescent="0.3">
      <c r="A10" s="220">
        <f t="shared" si="2"/>
        <v>6</v>
      </c>
      <c r="B10" s="229" t="s">
        <v>2056</v>
      </c>
      <c r="C10" s="227" t="s">
        <v>2057</v>
      </c>
      <c r="D10" s="227" t="s">
        <v>2058</v>
      </c>
      <c r="E10" s="227">
        <v>160</v>
      </c>
      <c r="F10" s="228">
        <v>1160.5</v>
      </c>
      <c r="G10" s="225">
        <v>0</v>
      </c>
      <c r="H10" s="224">
        <f t="shared" si="0"/>
        <v>0</v>
      </c>
      <c r="I10" s="224">
        <v>0</v>
      </c>
      <c r="J10" s="226">
        <f t="shared" si="1"/>
        <v>1160.5</v>
      </c>
    </row>
    <row r="11" spans="1:10" ht="13.5" customHeight="1" thickBot="1" x14ac:dyDescent="0.3">
      <c r="A11" s="220">
        <f t="shared" si="2"/>
        <v>7</v>
      </c>
      <c r="B11" s="229" t="s">
        <v>2059</v>
      </c>
      <c r="C11" s="227" t="s">
        <v>1853</v>
      </c>
      <c r="D11" s="227" t="s">
        <v>2060</v>
      </c>
      <c r="E11" s="227">
        <v>160</v>
      </c>
      <c r="F11" s="228">
        <v>2000</v>
      </c>
      <c r="G11" s="225">
        <v>0</v>
      </c>
      <c r="H11" s="224">
        <f t="shared" si="0"/>
        <v>0</v>
      </c>
      <c r="I11" s="224">
        <v>0</v>
      </c>
      <c r="J11" s="226">
        <f t="shared" si="1"/>
        <v>2000</v>
      </c>
    </row>
    <row r="12" spans="1:10" ht="15" customHeight="1" thickBot="1" x14ac:dyDescent="0.3">
      <c r="A12" s="220">
        <f t="shared" si="2"/>
        <v>8</v>
      </c>
      <c r="B12" s="229" t="s">
        <v>2061</v>
      </c>
      <c r="C12" s="227" t="s">
        <v>2062</v>
      </c>
      <c r="D12" s="227" t="s">
        <v>2063</v>
      </c>
      <c r="E12" s="227">
        <v>160</v>
      </c>
      <c r="F12" s="228">
        <v>1350</v>
      </c>
      <c r="G12" s="225">
        <v>0</v>
      </c>
      <c r="H12" s="224">
        <f t="shared" si="0"/>
        <v>0</v>
      </c>
      <c r="I12" s="224">
        <v>0</v>
      </c>
      <c r="J12" s="226">
        <f t="shared" si="1"/>
        <v>1350</v>
      </c>
    </row>
    <row r="13" spans="1:10" ht="13.5" customHeight="1" thickBot="1" x14ac:dyDescent="0.3">
      <c r="A13" s="220">
        <f t="shared" si="2"/>
        <v>9</v>
      </c>
      <c r="B13" s="229" t="s">
        <v>2064</v>
      </c>
      <c r="C13" s="227" t="s">
        <v>2065</v>
      </c>
      <c r="D13" s="227" t="s">
        <v>2066</v>
      </c>
      <c r="E13" s="227">
        <v>160</v>
      </c>
      <c r="F13" s="228">
        <v>2077</v>
      </c>
      <c r="G13" s="225">
        <v>0</v>
      </c>
      <c r="H13" s="224">
        <f t="shared" si="0"/>
        <v>0</v>
      </c>
      <c r="I13" s="224">
        <v>0</v>
      </c>
      <c r="J13" s="226">
        <f t="shared" si="1"/>
        <v>2077</v>
      </c>
    </row>
    <row r="14" spans="1:10" ht="13.5" customHeight="1" thickBot="1" x14ac:dyDescent="0.3">
      <c r="A14" s="220">
        <f t="shared" si="2"/>
        <v>10</v>
      </c>
      <c r="B14" s="229" t="s">
        <v>2067</v>
      </c>
      <c r="C14" s="227" t="s">
        <v>2068</v>
      </c>
      <c r="D14" s="227" t="s">
        <v>2069</v>
      </c>
      <c r="E14" s="227">
        <v>160</v>
      </c>
      <c r="F14" s="228">
        <v>1287</v>
      </c>
      <c r="G14" s="225">
        <v>0</v>
      </c>
      <c r="H14" s="224">
        <f t="shared" si="0"/>
        <v>0</v>
      </c>
      <c r="I14" s="224">
        <v>0</v>
      </c>
      <c r="J14" s="226">
        <f t="shared" si="1"/>
        <v>1287</v>
      </c>
    </row>
    <row r="15" spans="1:10" ht="13.5" customHeight="1" thickBot="1" x14ac:dyDescent="0.3">
      <c r="A15" s="220">
        <f t="shared" si="2"/>
        <v>11</v>
      </c>
      <c r="B15" s="230" t="s">
        <v>2070</v>
      </c>
      <c r="C15" s="231" t="s">
        <v>2071</v>
      </c>
      <c r="D15" s="231" t="s">
        <v>2072</v>
      </c>
      <c r="E15" s="227">
        <v>160</v>
      </c>
      <c r="F15" s="228">
        <v>3571</v>
      </c>
      <c r="G15" s="225">
        <v>0</v>
      </c>
      <c r="H15" s="224">
        <f t="shared" si="0"/>
        <v>0</v>
      </c>
      <c r="I15" s="224">
        <v>0</v>
      </c>
      <c r="J15" s="226">
        <f t="shared" si="1"/>
        <v>3571</v>
      </c>
    </row>
    <row r="16" spans="1:10" ht="13.5" customHeight="1" thickBot="1" x14ac:dyDescent="0.3">
      <c r="A16" s="220">
        <f t="shared" si="2"/>
        <v>12</v>
      </c>
      <c r="B16" s="230" t="s">
        <v>2073</v>
      </c>
      <c r="C16" s="231" t="s">
        <v>2074</v>
      </c>
      <c r="D16" s="231" t="s">
        <v>2075</v>
      </c>
      <c r="E16" s="227">
        <v>160</v>
      </c>
      <c r="F16" s="228">
        <v>1656</v>
      </c>
      <c r="G16" s="225">
        <v>0</v>
      </c>
      <c r="H16" s="224">
        <f t="shared" si="0"/>
        <v>0</v>
      </c>
      <c r="I16" s="224">
        <v>0</v>
      </c>
      <c r="J16" s="226">
        <f t="shared" si="1"/>
        <v>1656</v>
      </c>
    </row>
    <row r="17" spans="1:10" ht="13.5" customHeight="1" thickBot="1" x14ac:dyDescent="0.3">
      <c r="A17" s="220">
        <f t="shared" si="2"/>
        <v>13</v>
      </c>
      <c r="B17" s="230" t="s">
        <v>2076</v>
      </c>
      <c r="C17" s="231" t="s">
        <v>2077</v>
      </c>
      <c r="D17" s="231" t="s">
        <v>2078</v>
      </c>
      <c r="E17" s="227">
        <v>160</v>
      </c>
      <c r="F17" s="228">
        <v>3000</v>
      </c>
      <c r="G17" s="225">
        <v>0</v>
      </c>
      <c r="H17" s="224">
        <f t="shared" si="0"/>
        <v>0</v>
      </c>
      <c r="I17" s="224">
        <v>0</v>
      </c>
      <c r="J17" s="226">
        <f t="shared" si="1"/>
        <v>3000</v>
      </c>
    </row>
    <row r="18" spans="1:10" ht="13.5" customHeight="1" thickBot="1" x14ac:dyDescent="0.3">
      <c r="A18" s="220">
        <f t="shared" si="2"/>
        <v>14</v>
      </c>
      <c r="B18" s="230" t="s">
        <v>2079</v>
      </c>
      <c r="C18" s="231" t="s">
        <v>2080</v>
      </c>
      <c r="D18" s="231" t="s">
        <v>2081</v>
      </c>
      <c r="E18" s="227">
        <v>160</v>
      </c>
      <c r="F18" s="228">
        <v>1500</v>
      </c>
      <c r="G18" s="225">
        <v>0</v>
      </c>
      <c r="H18" s="224">
        <f t="shared" si="0"/>
        <v>0</v>
      </c>
      <c r="I18" s="224">
        <v>0</v>
      </c>
      <c r="J18" s="226">
        <f t="shared" si="1"/>
        <v>1500</v>
      </c>
    </row>
    <row r="19" spans="1:10" ht="13.5" customHeight="1" thickBot="1" x14ac:dyDescent="0.3">
      <c r="A19" s="220">
        <f t="shared" si="2"/>
        <v>15</v>
      </c>
      <c r="B19" s="230" t="s">
        <v>2082</v>
      </c>
      <c r="C19" s="231" t="s">
        <v>2083</v>
      </c>
      <c r="D19" s="231" t="s">
        <v>2084</v>
      </c>
      <c r="E19" s="227">
        <v>160</v>
      </c>
      <c r="F19" s="228">
        <v>2606</v>
      </c>
      <c r="G19" s="225">
        <v>0</v>
      </c>
      <c r="H19" s="224">
        <f t="shared" si="0"/>
        <v>0</v>
      </c>
      <c r="I19" s="224">
        <v>0</v>
      </c>
      <c r="J19" s="226">
        <f t="shared" si="1"/>
        <v>2606</v>
      </c>
    </row>
    <row r="20" spans="1:10" ht="13.5" customHeight="1" thickBot="1" x14ac:dyDescent="0.3">
      <c r="A20" s="220">
        <f t="shared" si="2"/>
        <v>16</v>
      </c>
      <c r="B20" s="232" t="s">
        <v>2085</v>
      </c>
      <c r="C20" s="233" t="s">
        <v>2086</v>
      </c>
      <c r="D20" s="233" t="s">
        <v>2087</v>
      </c>
      <c r="E20" s="227">
        <v>160</v>
      </c>
      <c r="F20" s="228">
        <v>1500</v>
      </c>
      <c r="G20" s="225">
        <v>0</v>
      </c>
      <c r="H20" s="224">
        <f t="shared" si="0"/>
        <v>0</v>
      </c>
      <c r="I20" s="224">
        <v>0</v>
      </c>
      <c r="J20" s="226">
        <f t="shared" si="1"/>
        <v>1500</v>
      </c>
    </row>
    <row r="21" spans="1:10" ht="13.5" customHeight="1" thickBot="1" x14ac:dyDescent="0.3">
      <c r="A21" s="220">
        <f t="shared" si="2"/>
        <v>17</v>
      </c>
      <c r="B21" s="232" t="s">
        <v>2088</v>
      </c>
      <c r="C21" s="233" t="s">
        <v>2089</v>
      </c>
      <c r="D21" s="233" t="s">
        <v>2090</v>
      </c>
      <c r="E21" s="227">
        <v>160</v>
      </c>
      <c r="F21" s="228">
        <v>3500</v>
      </c>
      <c r="G21" s="225">
        <v>0</v>
      </c>
      <c r="H21" s="224">
        <f t="shared" si="0"/>
        <v>0</v>
      </c>
      <c r="I21" s="224">
        <v>0</v>
      </c>
      <c r="J21" s="226">
        <f t="shared" si="1"/>
        <v>3500</v>
      </c>
    </row>
    <row r="22" spans="1:10" ht="13.5" customHeight="1" thickBot="1" x14ac:dyDescent="0.3">
      <c r="A22" s="220">
        <f t="shared" si="2"/>
        <v>18</v>
      </c>
      <c r="B22" s="232" t="s">
        <v>2091</v>
      </c>
      <c r="C22" s="233" t="s">
        <v>2092</v>
      </c>
      <c r="D22" s="233" t="s">
        <v>2093</v>
      </c>
      <c r="E22" s="227">
        <v>160</v>
      </c>
      <c r="F22" s="228">
        <v>2378</v>
      </c>
      <c r="G22" s="225">
        <v>0</v>
      </c>
      <c r="H22" s="224">
        <f t="shared" si="0"/>
        <v>0</v>
      </c>
      <c r="I22" s="224">
        <v>0</v>
      </c>
      <c r="J22" s="226">
        <f t="shared" si="1"/>
        <v>2378</v>
      </c>
    </row>
    <row r="23" spans="1:10" ht="13.5" customHeight="1" thickBot="1" x14ac:dyDescent="0.3">
      <c r="A23" s="220">
        <f t="shared" si="2"/>
        <v>19</v>
      </c>
      <c r="B23" s="232" t="s">
        <v>2094</v>
      </c>
      <c r="C23" s="233" t="s">
        <v>2095</v>
      </c>
      <c r="D23" s="233" t="s">
        <v>2096</v>
      </c>
      <c r="E23" s="227">
        <v>160</v>
      </c>
      <c r="F23" s="228">
        <v>1531</v>
      </c>
      <c r="G23" s="225">
        <v>0</v>
      </c>
      <c r="H23" s="224">
        <f t="shared" si="0"/>
        <v>0</v>
      </c>
      <c r="I23" s="224">
        <v>0</v>
      </c>
      <c r="J23" s="226">
        <f t="shared" si="1"/>
        <v>1531</v>
      </c>
    </row>
    <row r="24" spans="1:10" ht="13.5" customHeight="1" thickBot="1" x14ac:dyDescent="0.3">
      <c r="A24" s="220">
        <f t="shared" si="2"/>
        <v>20</v>
      </c>
      <c r="B24" s="221" t="s">
        <v>2097</v>
      </c>
      <c r="C24" s="222" t="s">
        <v>2098</v>
      </c>
      <c r="D24" s="222" t="s">
        <v>2099</v>
      </c>
      <c r="E24" s="227">
        <v>160</v>
      </c>
      <c r="F24" s="228">
        <v>1500</v>
      </c>
      <c r="G24" s="225">
        <v>0</v>
      </c>
      <c r="H24" s="224">
        <f t="shared" si="0"/>
        <v>0</v>
      </c>
      <c r="I24" s="224">
        <v>0</v>
      </c>
      <c r="J24" s="226">
        <f t="shared" si="1"/>
        <v>1500</v>
      </c>
    </row>
    <row r="25" spans="1:10" ht="13.5" customHeight="1" thickBot="1" x14ac:dyDescent="0.3">
      <c r="A25" s="220">
        <f t="shared" si="2"/>
        <v>21</v>
      </c>
      <c r="B25" s="221" t="s">
        <v>2100</v>
      </c>
      <c r="C25" s="222" t="s">
        <v>2101</v>
      </c>
      <c r="D25" s="222" t="s">
        <v>2102</v>
      </c>
      <c r="E25" s="227">
        <v>160</v>
      </c>
      <c r="F25" s="228">
        <v>1400</v>
      </c>
      <c r="G25" s="225">
        <v>0</v>
      </c>
      <c r="H25" s="224">
        <f t="shared" si="0"/>
        <v>0</v>
      </c>
      <c r="I25" s="224">
        <v>0</v>
      </c>
      <c r="J25" s="226">
        <f t="shared" si="1"/>
        <v>1400</v>
      </c>
    </row>
    <row r="26" spans="1:10" ht="13.5" customHeight="1" thickBot="1" x14ac:dyDescent="0.3">
      <c r="A26" s="220">
        <f t="shared" si="2"/>
        <v>22</v>
      </c>
      <c r="B26" s="221" t="s">
        <v>2103</v>
      </c>
      <c r="C26" s="222" t="s">
        <v>2104</v>
      </c>
      <c r="D26" s="222" t="s">
        <v>2105</v>
      </c>
      <c r="E26" s="227">
        <v>160</v>
      </c>
      <c r="F26" s="228">
        <v>2383.5</v>
      </c>
      <c r="G26" s="225">
        <v>0</v>
      </c>
      <c r="H26" s="224">
        <f t="shared" si="0"/>
        <v>0</v>
      </c>
      <c r="I26" s="224">
        <v>0</v>
      </c>
      <c r="J26" s="226">
        <f t="shared" si="1"/>
        <v>2383.5</v>
      </c>
    </row>
    <row r="27" spans="1:10" ht="13.5" customHeight="1" thickBot="1" x14ac:dyDescent="0.3">
      <c r="A27" s="220">
        <f t="shared" si="2"/>
        <v>23</v>
      </c>
      <c r="B27" s="221" t="s">
        <v>2106</v>
      </c>
      <c r="C27" s="222" t="s">
        <v>2107</v>
      </c>
      <c r="D27" s="222" t="s">
        <v>2108</v>
      </c>
      <c r="E27" s="227">
        <v>160</v>
      </c>
      <c r="F27" s="228">
        <v>1700</v>
      </c>
      <c r="G27" s="225">
        <v>0</v>
      </c>
      <c r="H27" s="224">
        <f t="shared" si="0"/>
        <v>0</v>
      </c>
      <c r="I27" s="224">
        <v>0</v>
      </c>
      <c r="J27" s="226">
        <f t="shared" si="1"/>
        <v>1700</v>
      </c>
    </row>
    <row r="28" spans="1:10" ht="13.5" customHeight="1" thickBot="1" x14ac:dyDescent="0.3">
      <c r="A28" s="220">
        <f t="shared" si="2"/>
        <v>24</v>
      </c>
      <c r="B28" s="229" t="s">
        <v>2109</v>
      </c>
      <c r="C28" s="227" t="s">
        <v>2110</v>
      </c>
      <c r="D28" s="227" t="s">
        <v>2111</v>
      </c>
      <c r="E28" s="227">
        <v>160</v>
      </c>
      <c r="F28" s="228">
        <v>3387</v>
      </c>
      <c r="G28" s="225">
        <v>0</v>
      </c>
      <c r="H28" s="224">
        <f t="shared" si="0"/>
        <v>0</v>
      </c>
      <c r="I28" s="224">
        <v>0</v>
      </c>
      <c r="J28" s="226">
        <f t="shared" si="1"/>
        <v>3387</v>
      </c>
    </row>
    <row r="29" spans="1:10" ht="13.5" customHeight="1" thickBot="1" x14ac:dyDescent="0.3">
      <c r="A29" s="220">
        <f t="shared" si="2"/>
        <v>25</v>
      </c>
      <c r="B29" s="229" t="s">
        <v>2112</v>
      </c>
      <c r="C29" s="227" t="s">
        <v>2113</v>
      </c>
      <c r="D29" s="227">
        <v>0</v>
      </c>
      <c r="E29" s="227">
        <v>160</v>
      </c>
      <c r="F29" s="228">
        <v>2500</v>
      </c>
      <c r="G29" s="225">
        <v>0</v>
      </c>
      <c r="H29" s="224">
        <f t="shared" si="0"/>
        <v>0</v>
      </c>
      <c r="I29" s="224">
        <v>0</v>
      </c>
      <c r="J29" s="226">
        <f t="shared" si="1"/>
        <v>2500</v>
      </c>
    </row>
    <row r="30" spans="1:10" ht="13.5" customHeight="1" thickBot="1" x14ac:dyDescent="0.3">
      <c r="A30" s="220">
        <f t="shared" si="2"/>
        <v>26</v>
      </c>
      <c r="B30" s="229" t="s">
        <v>2114</v>
      </c>
      <c r="C30" s="227" t="s">
        <v>2115</v>
      </c>
      <c r="D30" s="227" t="s">
        <v>2116</v>
      </c>
      <c r="E30" s="227">
        <v>160</v>
      </c>
      <c r="F30" s="228">
        <v>3000</v>
      </c>
      <c r="G30" s="225">
        <v>0</v>
      </c>
      <c r="H30" s="224">
        <f t="shared" si="0"/>
        <v>0</v>
      </c>
      <c r="I30" s="224">
        <v>0</v>
      </c>
      <c r="J30" s="226">
        <f t="shared" si="1"/>
        <v>3000</v>
      </c>
    </row>
    <row r="31" spans="1:10" ht="13.5" customHeight="1" thickBot="1" x14ac:dyDescent="0.3">
      <c r="A31" s="220">
        <f t="shared" si="2"/>
        <v>27</v>
      </c>
      <c r="B31" s="230" t="s">
        <v>2117</v>
      </c>
      <c r="C31" s="231" t="s">
        <v>2118</v>
      </c>
      <c r="D31" s="231" t="s">
        <v>2119</v>
      </c>
      <c r="E31" s="227">
        <v>160</v>
      </c>
      <c r="F31" s="228">
        <v>4538</v>
      </c>
      <c r="G31" s="225">
        <v>0</v>
      </c>
      <c r="H31" s="224">
        <f t="shared" si="0"/>
        <v>0</v>
      </c>
      <c r="I31" s="224">
        <v>0</v>
      </c>
      <c r="J31" s="226">
        <f t="shared" si="1"/>
        <v>4538</v>
      </c>
    </row>
    <row r="32" spans="1:10" ht="13.5" customHeight="1" thickBot="1" x14ac:dyDescent="0.3">
      <c r="A32" s="220">
        <f t="shared" si="2"/>
        <v>28</v>
      </c>
      <c r="B32" s="230" t="s">
        <v>2120</v>
      </c>
      <c r="C32" s="231" t="s">
        <v>2121</v>
      </c>
      <c r="D32" s="231" t="s">
        <v>2122</v>
      </c>
      <c r="E32" s="227">
        <v>160</v>
      </c>
      <c r="F32" s="228">
        <v>3400</v>
      </c>
      <c r="G32" s="225">
        <v>0</v>
      </c>
      <c r="H32" s="224">
        <f t="shared" si="0"/>
        <v>0</v>
      </c>
      <c r="I32" s="224">
        <v>0</v>
      </c>
      <c r="J32" s="226">
        <f t="shared" si="1"/>
        <v>3400</v>
      </c>
    </row>
    <row r="33" spans="1:10" ht="13.5" customHeight="1" thickBot="1" x14ac:dyDescent="0.3">
      <c r="A33" s="220">
        <f t="shared" si="2"/>
        <v>29</v>
      </c>
      <c r="B33" s="230" t="s">
        <v>2123</v>
      </c>
      <c r="C33" s="231" t="s">
        <v>2124</v>
      </c>
      <c r="D33" s="231" t="s">
        <v>2125</v>
      </c>
      <c r="E33" s="227">
        <v>160</v>
      </c>
      <c r="F33" s="228">
        <v>3100</v>
      </c>
      <c r="G33" s="225">
        <v>0</v>
      </c>
      <c r="H33" s="224">
        <f t="shared" si="0"/>
        <v>0</v>
      </c>
      <c r="I33" s="224">
        <v>0</v>
      </c>
      <c r="J33" s="226">
        <f t="shared" si="1"/>
        <v>3100</v>
      </c>
    </row>
    <row r="34" spans="1:10" ht="13.5" customHeight="1" thickBot="1" x14ac:dyDescent="0.3">
      <c r="A34" s="220">
        <f t="shared" si="2"/>
        <v>30</v>
      </c>
      <c r="B34" s="230" t="s">
        <v>2126</v>
      </c>
      <c r="C34" s="231" t="s">
        <v>2127</v>
      </c>
      <c r="D34" s="231" t="s">
        <v>2128</v>
      </c>
      <c r="E34" s="227">
        <v>160</v>
      </c>
      <c r="F34" s="228">
        <v>2200</v>
      </c>
      <c r="G34" s="225">
        <v>0</v>
      </c>
      <c r="H34" s="224">
        <f t="shared" si="0"/>
        <v>0</v>
      </c>
      <c r="I34" s="224">
        <v>0</v>
      </c>
      <c r="J34" s="226">
        <f t="shared" si="1"/>
        <v>2200</v>
      </c>
    </row>
    <row r="35" spans="1:10" ht="13.5" customHeight="1" thickBot="1" x14ac:dyDescent="0.3">
      <c r="A35" s="220">
        <f t="shared" si="2"/>
        <v>31</v>
      </c>
      <c r="B35" s="230" t="s">
        <v>2129</v>
      </c>
      <c r="C35" s="231" t="s">
        <v>2130</v>
      </c>
      <c r="D35" s="231" t="s">
        <v>2131</v>
      </c>
      <c r="E35" s="227">
        <v>160</v>
      </c>
      <c r="F35" s="228">
        <v>1000</v>
      </c>
      <c r="G35" s="225">
        <v>0</v>
      </c>
      <c r="H35" s="224">
        <f t="shared" si="0"/>
        <v>0</v>
      </c>
      <c r="I35" s="224">
        <v>0</v>
      </c>
      <c r="J35" s="226">
        <f t="shared" si="1"/>
        <v>1000</v>
      </c>
    </row>
    <row r="36" spans="1:10" ht="13.5" customHeight="1" thickBot="1" x14ac:dyDescent="0.3">
      <c r="A36" s="220">
        <f t="shared" si="2"/>
        <v>32</v>
      </c>
      <c r="B36" s="232" t="s">
        <v>2132</v>
      </c>
      <c r="C36" s="233" t="s">
        <v>2133</v>
      </c>
      <c r="D36" s="233" t="s">
        <v>2134</v>
      </c>
      <c r="E36" s="227">
        <v>160</v>
      </c>
      <c r="F36" s="228">
        <v>3900</v>
      </c>
      <c r="G36" s="225">
        <v>0</v>
      </c>
      <c r="H36" s="224">
        <f t="shared" si="0"/>
        <v>0</v>
      </c>
      <c r="I36" s="224">
        <v>0</v>
      </c>
      <c r="J36" s="226">
        <f t="shared" si="1"/>
        <v>3900</v>
      </c>
    </row>
    <row r="37" spans="1:10" ht="13.5" customHeight="1" thickBot="1" x14ac:dyDescent="0.3">
      <c r="A37" s="220">
        <f t="shared" si="2"/>
        <v>33</v>
      </c>
      <c r="B37" s="232" t="s">
        <v>2135</v>
      </c>
      <c r="C37" s="233" t="s">
        <v>2121</v>
      </c>
      <c r="D37" s="233">
        <v>0</v>
      </c>
      <c r="E37" s="227">
        <v>160</v>
      </c>
      <c r="F37" s="228">
        <v>3000</v>
      </c>
      <c r="G37" s="225">
        <v>0</v>
      </c>
      <c r="H37" s="224">
        <f t="shared" si="0"/>
        <v>0</v>
      </c>
      <c r="I37" s="224">
        <v>0</v>
      </c>
      <c r="J37" s="226">
        <f t="shared" si="1"/>
        <v>3000</v>
      </c>
    </row>
    <row r="38" spans="1:10" ht="13.5" customHeight="1" thickBot="1" x14ac:dyDescent="0.3">
      <c r="A38" s="220">
        <f t="shared" si="2"/>
        <v>34</v>
      </c>
      <c r="B38" s="232" t="s">
        <v>2136</v>
      </c>
      <c r="C38" s="233" t="s">
        <v>2137</v>
      </c>
      <c r="D38" s="233" t="s">
        <v>2138</v>
      </c>
      <c r="E38" s="227">
        <v>160</v>
      </c>
      <c r="F38" s="228">
        <v>2600</v>
      </c>
      <c r="G38" s="225">
        <v>0</v>
      </c>
      <c r="H38" s="224">
        <f t="shared" si="0"/>
        <v>0</v>
      </c>
      <c r="I38" s="224">
        <v>0</v>
      </c>
      <c r="J38" s="226">
        <f t="shared" si="1"/>
        <v>2600</v>
      </c>
    </row>
    <row r="39" spans="1:10" ht="13.5" customHeight="1" thickBot="1" x14ac:dyDescent="0.3">
      <c r="A39" s="220">
        <f t="shared" si="2"/>
        <v>35</v>
      </c>
      <c r="B39" s="221" t="s">
        <v>2139</v>
      </c>
      <c r="C39" s="222" t="s">
        <v>2127</v>
      </c>
      <c r="D39" s="222" t="s">
        <v>2140</v>
      </c>
      <c r="E39" s="227">
        <v>160</v>
      </c>
      <c r="F39" s="228">
        <v>1944</v>
      </c>
      <c r="G39" s="225">
        <v>0</v>
      </c>
      <c r="H39" s="224">
        <f t="shared" si="0"/>
        <v>0</v>
      </c>
      <c r="I39" s="224">
        <v>0</v>
      </c>
      <c r="J39" s="226">
        <f t="shared" si="1"/>
        <v>1944</v>
      </c>
    </row>
    <row r="40" spans="1:10" ht="13.5" customHeight="1" thickBot="1" x14ac:dyDescent="0.3">
      <c r="A40" s="220">
        <f t="shared" si="2"/>
        <v>36</v>
      </c>
      <c r="B40" s="221" t="s">
        <v>2141</v>
      </c>
      <c r="C40" s="222" t="s">
        <v>2142</v>
      </c>
      <c r="D40" s="222" t="s">
        <v>2143</v>
      </c>
      <c r="E40" s="227">
        <v>160</v>
      </c>
      <c r="F40" s="228">
        <v>4220</v>
      </c>
      <c r="G40" s="225">
        <v>0</v>
      </c>
      <c r="H40" s="224">
        <f t="shared" si="0"/>
        <v>0</v>
      </c>
      <c r="I40" s="224">
        <v>0</v>
      </c>
      <c r="J40" s="226">
        <f t="shared" si="1"/>
        <v>4220</v>
      </c>
    </row>
    <row r="41" spans="1:10" ht="13.5" customHeight="1" thickBot="1" x14ac:dyDescent="0.3">
      <c r="A41" s="220">
        <f t="shared" si="2"/>
        <v>37</v>
      </c>
      <c r="B41" s="221" t="s">
        <v>2144</v>
      </c>
      <c r="C41" s="222" t="s">
        <v>2145</v>
      </c>
      <c r="D41" s="222" t="s">
        <v>2146</v>
      </c>
      <c r="E41" s="227">
        <v>160</v>
      </c>
      <c r="F41" s="228">
        <v>2637.5</v>
      </c>
      <c r="G41" s="225">
        <v>0</v>
      </c>
      <c r="H41" s="224">
        <f t="shared" si="0"/>
        <v>0</v>
      </c>
      <c r="I41" s="224">
        <v>0</v>
      </c>
      <c r="J41" s="226">
        <f t="shared" si="1"/>
        <v>2637.5</v>
      </c>
    </row>
    <row r="42" spans="1:10" ht="13.5" customHeight="1" thickBot="1" x14ac:dyDescent="0.3">
      <c r="A42" s="220">
        <f t="shared" si="2"/>
        <v>38</v>
      </c>
      <c r="B42" s="229" t="s">
        <v>2147</v>
      </c>
      <c r="C42" s="227" t="s">
        <v>2148</v>
      </c>
      <c r="D42" s="227">
        <v>0</v>
      </c>
      <c r="E42" s="227">
        <v>160</v>
      </c>
      <c r="F42" s="228">
        <v>3050</v>
      </c>
      <c r="G42" s="225">
        <v>0</v>
      </c>
      <c r="H42" s="224">
        <f t="shared" si="0"/>
        <v>0</v>
      </c>
      <c r="I42" s="224">
        <v>0</v>
      </c>
      <c r="J42" s="226">
        <f t="shared" si="1"/>
        <v>3050</v>
      </c>
    </row>
    <row r="43" spans="1:10" ht="13.5" customHeight="1" thickBot="1" x14ac:dyDescent="0.3">
      <c r="A43" s="220">
        <f t="shared" si="2"/>
        <v>39</v>
      </c>
      <c r="B43" s="229" t="s">
        <v>2149</v>
      </c>
      <c r="C43" s="227" t="s">
        <v>2150</v>
      </c>
      <c r="D43" s="227">
        <v>0</v>
      </c>
      <c r="E43" s="227">
        <v>160</v>
      </c>
      <c r="F43" s="228">
        <v>2900</v>
      </c>
      <c r="G43" s="225">
        <v>0</v>
      </c>
      <c r="H43" s="224">
        <f t="shared" si="0"/>
        <v>0</v>
      </c>
      <c r="I43" s="224">
        <v>0</v>
      </c>
      <c r="J43" s="226">
        <f t="shared" si="1"/>
        <v>2900</v>
      </c>
    </row>
    <row r="44" spans="1:10" ht="13.5" customHeight="1" thickBot="1" x14ac:dyDescent="0.3">
      <c r="A44" s="220">
        <f t="shared" si="2"/>
        <v>40</v>
      </c>
      <c r="B44" s="229" t="s">
        <v>2151</v>
      </c>
      <c r="C44" s="227" t="s">
        <v>2152</v>
      </c>
      <c r="D44" s="227">
        <v>0</v>
      </c>
      <c r="E44" s="227">
        <v>160</v>
      </c>
      <c r="F44" s="228">
        <v>1800</v>
      </c>
      <c r="G44" s="225">
        <v>0</v>
      </c>
      <c r="H44" s="224">
        <f t="shared" si="0"/>
        <v>0</v>
      </c>
      <c r="I44" s="224">
        <v>0</v>
      </c>
      <c r="J44" s="226">
        <f t="shared" si="1"/>
        <v>1800</v>
      </c>
    </row>
    <row r="45" spans="1:10" ht="13.5" customHeight="1" thickBot="1" x14ac:dyDescent="0.3">
      <c r="A45" s="220">
        <f t="shared" si="2"/>
        <v>41</v>
      </c>
      <c r="B45" s="229" t="s">
        <v>2153</v>
      </c>
      <c r="C45" s="227" t="s">
        <v>2154</v>
      </c>
      <c r="D45" s="227">
        <v>0</v>
      </c>
      <c r="E45" s="227">
        <v>160</v>
      </c>
      <c r="F45" s="228">
        <v>2215.5</v>
      </c>
      <c r="G45" s="225">
        <v>0</v>
      </c>
      <c r="H45" s="224">
        <f t="shared" si="0"/>
        <v>0</v>
      </c>
      <c r="I45" s="224">
        <v>0</v>
      </c>
      <c r="J45" s="226">
        <f t="shared" si="1"/>
        <v>2215.5</v>
      </c>
    </row>
    <row r="46" spans="1:10" ht="13.5" customHeight="1" thickBot="1" x14ac:dyDescent="0.3">
      <c r="A46" s="220">
        <f t="shared" si="2"/>
        <v>42</v>
      </c>
      <c r="B46" s="229" t="s">
        <v>2155</v>
      </c>
      <c r="C46" s="227" t="s">
        <v>2154</v>
      </c>
      <c r="D46" s="227">
        <v>0</v>
      </c>
      <c r="E46" s="227">
        <v>160</v>
      </c>
      <c r="F46" s="228">
        <v>2005</v>
      </c>
      <c r="G46" s="225">
        <v>0</v>
      </c>
      <c r="H46" s="224">
        <f t="shared" si="0"/>
        <v>0</v>
      </c>
      <c r="I46" s="224">
        <v>0</v>
      </c>
      <c r="J46" s="226">
        <f t="shared" si="1"/>
        <v>2005</v>
      </c>
    </row>
    <row r="47" spans="1:10" ht="13.5" customHeight="1" thickBot="1" x14ac:dyDescent="0.3">
      <c r="A47" s="220">
        <f t="shared" si="2"/>
        <v>43</v>
      </c>
      <c r="B47" s="230" t="s">
        <v>2156</v>
      </c>
      <c r="C47" s="231" t="s">
        <v>2154</v>
      </c>
      <c r="D47" s="231">
        <v>0</v>
      </c>
      <c r="E47" s="227">
        <v>160</v>
      </c>
      <c r="F47" s="228">
        <v>1750</v>
      </c>
      <c r="G47" s="225">
        <v>0</v>
      </c>
      <c r="H47" s="224">
        <f t="shared" si="0"/>
        <v>0</v>
      </c>
      <c r="I47" s="224">
        <v>0</v>
      </c>
      <c r="J47" s="226">
        <f t="shared" si="1"/>
        <v>1750</v>
      </c>
    </row>
    <row r="48" spans="1:10" ht="13.5" customHeight="1" thickBot="1" x14ac:dyDescent="0.3">
      <c r="A48" s="220">
        <f t="shared" si="2"/>
        <v>44</v>
      </c>
      <c r="B48" s="230" t="s">
        <v>2157</v>
      </c>
      <c r="C48" s="231" t="s">
        <v>2154</v>
      </c>
      <c r="D48" s="231">
        <v>0</v>
      </c>
      <c r="E48" s="227">
        <v>160</v>
      </c>
      <c r="F48" s="228">
        <v>1900</v>
      </c>
      <c r="G48" s="225">
        <v>0</v>
      </c>
      <c r="H48" s="224">
        <f t="shared" si="0"/>
        <v>0</v>
      </c>
      <c r="I48" s="224">
        <v>0</v>
      </c>
      <c r="J48" s="226">
        <f t="shared" si="1"/>
        <v>1900</v>
      </c>
    </row>
    <row r="49" spans="1:10" ht="13.5" customHeight="1" thickBot="1" x14ac:dyDescent="0.3">
      <c r="A49" s="220">
        <f t="shared" si="2"/>
        <v>45</v>
      </c>
      <c r="B49" s="230" t="s">
        <v>2158</v>
      </c>
      <c r="C49" s="231" t="s">
        <v>2159</v>
      </c>
      <c r="D49" s="231">
        <v>0</v>
      </c>
      <c r="E49" s="227">
        <v>160</v>
      </c>
      <c r="F49" s="228">
        <v>1741</v>
      </c>
      <c r="G49" s="225">
        <v>0</v>
      </c>
      <c r="H49" s="224">
        <f t="shared" si="0"/>
        <v>0</v>
      </c>
      <c r="I49" s="224">
        <v>0</v>
      </c>
      <c r="J49" s="226">
        <f t="shared" si="1"/>
        <v>1741</v>
      </c>
    </row>
    <row r="50" spans="1:10" ht="13.5" customHeight="1" thickBot="1" x14ac:dyDescent="0.3">
      <c r="A50" s="220">
        <f t="shared" si="2"/>
        <v>46</v>
      </c>
      <c r="B50" s="230" t="s">
        <v>2160</v>
      </c>
      <c r="C50" s="231" t="s">
        <v>2161</v>
      </c>
      <c r="D50" s="231" t="s">
        <v>2162</v>
      </c>
      <c r="E50" s="227">
        <v>160</v>
      </c>
      <c r="F50" s="228">
        <v>1800</v>
      </c>
      <c r="G50" s="225">
        <v>0</v>
      </c>
      <c r="H50" s="224">
        <f t="shared" si="0"/>
        <v>0</v>
      </c>
      <c r="I50" s="224">
        <v>0</v>
      </c>
      <c r="J50" s="226">
        <f t="shared" si="1"/>
        <v>1800</v>
      </c>
    </row>
    <row r="51" spans="1:10" ht="13.5" customHeight="1" thickBot="1" x14ac:dyDescent="0.3">
      <c r="A51" s="220">
        <f t="shared" si="2"/>
        <v>47</v>
      </c>
      <c r="B51" s="232" t="s">
        <v>2163</v>
      </c>
      <c r="C51" s="233" t="s">
        <v>2164</v>
      </c>
      <c r="D51" s="233">
        <v>0</v>
      </c>
      <c r="E51" s="227">
        <v>160</v>
      </c>
      <c r="F51" s="228">
        <v>2500</v>
      </c>
      <c r="G51" s="225">
        <v>0</v>
      </c>
      <c r="H51" s="224">
        <f t="shared" si="0"/>
        <v>0</v>
      </c>
      <c r="I51" s="224">
        <v>0</v>
      </c>
      <c r="J51" s="226">
        <f t="shared" si="1"/>
        <v>2500</v>
      </c>
    </row>
    <row r="52" spans="1:10" ht="13.5" customHeight="1" thickBot="1" x14ac:dyDescent="0.3">
      <c r="A52" s="220">
        <f t="shared" si="2"/>
        <v>48</v>
      </c>
      <c r="B52" s="232" t="s">
        <v>2165</v>
      </c>
      <c r="C52" s="233" t="s">
        <v>2166</v>
      </c>
      <c r="D52" s="233">
        <v>0</v>
      </c>
      <c r="E52" s="227">
        <v>160</v>
      </c>
      <c r="F52" s="228">
        <v>1000</v>
      </c>
      <c r="G52" s="225">
        <v>0</v>
      </c>
      <c r="H52" s="224">
        <f t="shared" si="0"/>
        <v>0</v>
      </c>
      <c r="I52" s="224">
        <v>0</v>
      </c>
      <c r="J52" s="226">
        <f t="shared" si="1"/>
        <v>1000</v>
      </c>
    </row>
    <row r="53" spans="1:10" ht="13.5" customHeight="1" thickBot="1" x14ac:dyDescent="0.3">
      <c r="A53" s="220">
        <f t="shared" si="2"/>
        <v>49</v>
      </c>
      <c r="B53" s="232" t="s">
        <v>2167</v>
      </c>
      <c r="C53" s="233" t="s">
        <v>2154</v>
      </c>
      <c r="D53" s="233" t="s">
        <v>2168</v>
      </c>
      <c r="E53" s="227">
        <v>160</v>
      </c>
      <c r="F53" s="228">
        <v>1000</v>
      </c>
      <c r="G53" s="225">
        <v>0</v>
      </c>
      <c r="H53" s="224">
        <f t="shared" si="0"/>
        <v>0</v>
      </c>
      <c r="I53" s="224">
        <v>0</v>
      </c>
      <c r="J53" s="226">
        <f t="shared" si="1"/>
        <v>1000</v>
      </c>
    </row>
    <row r="54" spans="1:10" ht="13.5" customHeight="1" thickBot="1" x14ac:dyDescent="0.3">
      <c r="A54" s="220">
        <f t="shared" si="2"/>
        <v>50</v>
      </c>
      <c r="B54" s="232" t="s">
        <v>2169</v>
      </c>
      <c r="C54" s="233" t="s">
        <v>2170</v>
      </c>
      <c r="D54" s="233">
        <v>0</v>
      </c>
      <c r="E54" s="227">
        <v>160</v>
      </c>
      <c r="F54" s="228">
        <v>1000</v>
      </c>
      <c r="G54" s="225">
        <v>0</v>
      </c>
      <c r="H54" s="224">
        <f t="shared" si="0"/>
        <v>0</v>
      </c>
      <c r="I54" s="224">
        <v>0</v>
      </c>
      <c r="J54" s="226">
        <f t="shared" si="1"/>
        <v>1000</v>
      </c>
    </row>
    <row r="55" spans="1:10" ht="13.5" customHeight="1" thickBot="1" x14ac:dyDescent="0.3">
      <c r="A55" s="220">
        <f t="shared" si="2"/>
        <v>51</v>
      </c>
      <c r="B55" s="232" t="s">
        <v>2171</v>
      </c>
      <c r="C55" s="233" t="s">
        <v>2161</v>
      </c>
      <c r="D55" s="233">
        <v>0</v>
      </c>
      <c r="E55" s="227">
        <v>160</v>
      </c>
      <c r="F55" s="228">
        <v>1000</v>
      </c>
      <c r="G55" s="225">
        <v>0</v>
      </c>
      <c r="H55" s="224">
        <f t="shared" si="0"/>
        <v>0</v>
      </c>
      <c r="I55" s="224">
        <v>0</v>
      </c>
      <c r="J55" s="226">
        <f t="shared" si="1"/>
        <v>1000</v>
      </c>
    </row>
    <row r="56" spans="1:10" ht="13.5" customHeight="1" thickBot="1" x14ac:dyDescent="0.3">
      <c r="A56" s="220">
        <f t="shared" si="2"/>
        <v>52</v>
      </c>
      <c r="B56" s="232" t="s">
        <v>2172</v>
      </c>
      <c r="C56" s="233" t="s">
        <v>2154</v>
      </c>
      <c r="D56" s="233">
        <v>0</v>
      </c>
      <c r="E56" s="227">
        <v>160</v>
      </c>
      <c r="F56" s="228">
        <v>1000</v>
      </c>
      <c r="G56" s="225">
        <v>0</v>
      </c>
      <c r="H56" s="224">
        <f t="shared" si="0"/>
        <v>0</v>
      </c>
      <c r="I56" s="224">
        <v>0</v>
      </c>
      <c r="J56" s="226">
        <f t="shared" si="1"/>
        <v>1000</v>
      </c>
    </row>
    <row r="57" spans="1:10" ht="13.5" customHeight="1" thickBot="1" x14ac:dyDescent="0.3">
      <c r="A57" s="220">
        <f t="shared" si="2"/>
        <v>53</v>
      </c>
      <c r="B57" s="232" t="s">
        <v>2173</v>
      </c>
      <c r="C57" s="233" t="s">
        <v>2154</v>
      </c>
      <c r="D57" s="233">
        <v>0</v>
      </c>
      <c r="E57" s="227">
        <v>160</v>
      </c>
      <c r="F57" s="228">
        <v>1000</v>
      </c>
      <c r="G57" s="225">
        <v>0</v>
      </c>
      <c r="H57" s="224">
        <f t="shared" si="0"/>
        <v>0</v>
      </c>
      <c r="I57" s="224">
        <v>0</v>
      </c>
      <c r="J57" s="226">
        <f t="shared" si="1"/>
        <v>1000</v>
      </c>
    </row>
    <row r="58" spans="1:10" ht="13.5" customHeight="1" thickBot="1" x14ac:dyDescent="0.3">
      <c r="A58" s="220">
        <f t="shared" si="2"/>
        <v>54</v>
      </c>
      <c r="B58" s="232" t="s">
        <v>2174</v>
      </c>
      <c r="C58" s="233" t="s">
        <v>2161</v>
      </c>
      <c r="D58" s="233">
        <v>0</v>
      </c>
      <c r="E58" s="227">
        <v>160</v>
      </c>
      <c r="F58" s="228">
        <v>1000</v>
      </c>
      <c r="G58" s="225">
        <v>0</v>
      </c>
      <c r="H58" s="224">
        <f t="shared" si="0"/>
        <v>0</v>
      </c>
      <c r="I58" s="224">
        <v>0</v>
      </c>
      <c r="J58" s="226">
        <f t="shared" si="1"/>
        <v>1000</v>
      </c>
    </row>
    <row r="59" spans="1:10" ht="13.5" customHeight="1" thickBot="1" x14ac:dyDescent="0.3">
      <c r="A59" s="220">
        <f t="shared" si="2"/>
        <v>55</v>
      </c>
      <c r="B59" s="232" t="s">
        <v>2042</v>
      </c>
      <c r="C59" s="233" t="s">
        <v>2043</v>
      </c>
      <c r="D59" s="233" t="s">
        <v>2044</v>
      </c>
      <c r="E59" s="227">
        <v>160</v>
      </c>
      <c r="F59" s="228">
        <v>1000</v>
      </c>
      <c r="G59" s="225">
        <v>0</v>
      </c>
      <c r="H59" s="224">
        <f t="shared" si="0"/>
        <v>0</v>
      </c>
      <c r="I59" s="224">
        <v>0</v>
      </c>
      <c r="J59" s="226">
        <f t="shared" si="1"/>
        <v>1000</v>
      </c>
    </row>
    <row r="60" spans="1:10" ht="13.5" customHeight="1" thickBot="1" x14ac:dyDescent="0.3">
      <c r="A60" s="220">
        <f t="shared" ref="A60:A116" si="3">A59+1</f>
        <v>56</v>
      </c>
      <c r="B60" s="232" t="s">
        <v>2045</v>
      </c>
      <c r="C60" s="233" t="s">
        <v>2046</v>
      </c>
      <c r="D60" s="233" t="s">
        <v>2047</v>
      </c>
      <c r="E60" s="227">
        <v>160</v>
      </c>
      <c r="F60" s="228">
        <v>1000</v>
      </c>
      <c r="G60" s="225">
        <v>0</v>
      </c>
      <c r="H60" s="224">
        <f t="shared" si="0"/>
        <v>0</v>
      </c>
      <c r="I60" s="224">
        <v>0</v>
      </c>
      <c r="J60" s="226">
        <f t="shared" si="1"/>
        <v>1000</v>
      </c>
    </row>
    <row r="61" spans="1:10" ht="13.5" customHeight="1" thickBot="1" x14ac:dyDescent="0.3">
      <c r="A61" s="220">
        <f t="shared" si="3"/>
        <v>57</v>
      </c>
      <c r="B61" s="232" t="s">
        <v>2048</v>
      </c>
      <c r="C61" s="233" t="s">
        <v>2049</v>
      </c>
      <c r="D61" s="233" t="s">
        <v>2050</v>
      </c>
      <c r="E61" s="227">
        <v>160</v>
      </c>
      <c r="F61" s="228">
        <v>1000</v>
      </c>
      <c r="G61" s="225">
        <v>0</v>
      </c>
      <c r="H61" s="224">
        <f t="shared" si="0"/>
        <v>0</v>
      </c>
      <c r="I61" s="224">
        <v>0</v>
      </c>
      <c r="J61" s="226">
        <f t="shared" si="1"/>
        <v>1000</v>
      </c>
    </row>
    <row r="62" spans="1:10" ht="13.5" customHeight="1" thickBot="1" x14ac:dyDescent="0.3">
      <c r="A62" s="220">
        <f t="shared" si="3"/>
        <v>58</v>
      </c>
      <c r="B62" s="232" t="s">
        <v>2051</v>
      </c>
      <c r="C62" s="233" t="s">
        <v>2052</v>
      </c>
      <c r="D62" s="233" t="s">
        <v>2053</v>
      </c>
      <c r="E62" s="227">
        <v>160</v>
      </c>
      <c r="F62" s="228">
        <v>1000</v>
      </c>
      <c r="G62" s="225">
        <v>0</v>
      </c>
      <c r="H62" s="224">
        <f t="shared" si="0"/>
        <v>0</v>
      </c>
      <c r="I62" s="224">
        <v>0</v>
      </c>
      <c r="J62" s="226">
        <f t="shared" si="1"/>
        <v>1000</v>
      </c>
    </row>
    <row r="63" spans="1:10" ht="13.5" customHeight="1" thickBot="1" x14ac:dyDescent="0.3">
      <c r="A63" s="220">
        <f t="shared" si="3"/>
        <v>59</v>
      </c>
      <c r="B63" s="232" t="s">
        <v>2054</v>
      </c>
      <c r="C63" s="233" t="s">
        <v>364</v>
      </c>
      <c r="D63" s="233" t="s">
        <v>2055</v>
      </c>
      <c r="E63" s="227">
        <v>160</v>
      </c>
      <c r="F63" s="228">
        <v>1000</v>
      </c>
      <c r="G63" s="225">
        <v>0</v>
      </c>
      <c r="H63" s="224">
        <f t="shared" si="0"/>
        <v>0</v>
      </c>
      <c r="I63" s="224">
        <v>0</v>
      </c>
      <c r="J63" s="226">
        <f t="shared" si="1"/>
        <v>1000</v>
      </c>
    </row>
    <row r="64" spans="1:10" ht="13.5" customHeight="1" thickBot="1" x14ac:dyDescent="0.3">
      <c r="A64" s="220">
        <f t="shared" si="3"/>
        <v>60</v>
      </c>
      <c r="B64" s="232" t="s">
        <v>2175</v>
      </c>
      <c r="C64" s="233" t="s">
        <v>2176</v>
      </c>
      <c r="D64" s="233" t="s">
        <v>2177</v>
      </c>
      <c r="E64" s="227">
        <v>160</v>
      </c>
      <c r="F64" s="228">
        <v>1000</v>
      </c>
      <c r="G64" s="225">
        <v>0</v>
      </c>
      <c r="H64" s="224">
        <f t="shared" si="0"/>
        <v>0</v>
      </c>
      <c r="I64" s="224">
        <v>0</v>
      </c>
      <c r="J64" s="226">
        <f t="shared" si="1"/>
        <v>1000</v>
      </c>
    </row>
    <row r="65" spans="1:10" ht="13.5" customHeight="1" thickBot="1" x14ac:dyDescent="0.3">
      <c r="A65" s="220">
        <f t="shared" si="3"/>
        <v>61</v>
      </c>
      <c r="B65" s="232" t="s">
        <v>2059</v>
      </c>
      <c r="C65" s="233" t="s">
        <v>1853</v>
      </c>
      <c r="D65" s="233" t="s">
        <v>2060</v>
      </c>
      <c r="E65" s="227">
        <v>160</v>
      </c>
      <c r="F65" s="228">
        <v>1000</v>
      </c>
      <c r="G65" s="225">
        <v>0</v>
      </c>
      <c r="H65" s="224">
        <f t="shared" si="0"/>
        <v>0</v>
      </c>
      <c r="I65" s="224">
        <v>0</v>
      </c>
      <c r="J65" s="226">
        <f t="shared" si="1"/>
        <v>1000</v>
      </c>
    </row>
    <row r="66" spans="1:10" ht="13.5" customHeight="1" thickBot="1" x14ac:dyDescent="0.3">
      <c r="A66" s="220">
        <f t="shared" si="3"/>
        <v>62</v>
      </c>
      <c r="B66" s="232" t="s">
        <v>2061</v>
      </c>
      <c r="C66" s="233" t="s">
        <v>2062</v>
      </c>
      <c r="D66" s="233" t="s">
        <v>2063</v>
      </c>
      <c r="E66" s="227">
        <v>160</v>
      </c>
      <c r="F66" s="228">
        <v>1000</v>
      </c>
      <c r="G66" s="225">
        <v>0</v>
      </c>
      <c r="H66" s="224">
        <f t="shared" si="0"/>
        <v>0</v>
      </c>
      <c r="I66" s="224">
        <v>0</v>
      </c>
      <c r="J66" s="226">
        <f t="shared" si="1"/>
        <v>1000</v>
      </c>
    </row>
    <row r="67" spans="1:10" ht="13.5" customHeight="1" thickBot="1" x14ac:dyDescent="0.3">
      <c r="A67" s="220">
        <f t="shared" si="3"/>
        <v>63</v>
      </c>
      <c r="B67" s="232" t="s">
        <v>2178</v>
      </c>
      <c r="C67" s="233" t="s">
        <v>2179</v>
      </c>
      <c r="D67" s="233" t="s">
        <v>2180</v>
      </c>
      <c r="E67" s="227">
        <v>160</v>
      </c>
      <c r="F67" s="228">
        <v>1000</v>
      </c>
      <c r="G67" s="225">
        <v>0</v>
      </c>
      <c r="H67" s="224">
        <f t="shared" si="0"/>
        <v>0</v>
      </c>
      <c r="I67" s="224">
        <v>0</v>
      </c>
      <c r="J67" s="226">
        <f t="shared" si="1"/>
        <v>1000</v>
      </c>
    </row>
    <row r="68" spans="1:10" ht="13.5" customHeight="1" thickBot="1" x14ac:dyDescent="0.3">
      <c r="A68" s="220">
        <f t="shared" si="3"/>
        <v>64</v>
      </c>
      <c r="B68" s="232" t="s">
        <v>2056</v>
      </c>
      <c r="C68" s="233" t="s">
        <v>2057</v>
      </c>
      <c r="D68" s="233" t="s">
        <v>2058</v>
      </c>
      <c r="E68" s="227">
        <v>160</v>
      </c>
      <c r="F68" s="228">
        <v>1000</v>
      </c>
      <c r="G68" s="225">
        <v>0</v>
      </c>
      <c r="H68" s="224">
        <f t="shared" si="0"/>
        <v>0</v>
      </c>
      <c r="I68" s="224">
        <v>0</v>
      </c>
      <c r="J68" s="226">
        <f t="shared" si="1"/>
        <v>1000</v>
      </c>
    </row>
    <row r="69" spans="1:10" ht="13.5" customHeight="1" thickBot="1" x14ac:dyDescent="0.3">
      <c r="A69" s="220">
        <f t="shared" si="3"/>
        <v>65</v>
      </c>
      <c r="B69" s="232" t="s">
        <v>2070</v>
      </c>
      <c r="C69" s="233" t="s">
        <v>2071</v>
      </c>
      <c r="D69" s="233" t="s">
        <v>2072</v>
      </c>
      <c r="E69" s="227">
        <v>160</v>
      </c>
      <c r="F69" s="228">
        <v>1000</v>
      </c>
      <c r="G69" s="225">
        <v>0</v>
      </c>
      <c r="H69" s="224">
        <f t="shared" si="0"/>
        <v>0</v>
      </c>
      <c r="I69" s="224">
        <v>0</v>
      </c>
      <c r="J69" s="226">
        <f t="shared" si="1"/>
        <v>1000</v>
      </c>
    </row>
    <row r="70" spans="1:10" ht="13.5" customHeight="1" thickBot="1" x14ac:dyDescent="0.3">
      <c r="A70" s="220">
        <f t="shared" si="3"/>
        <v>66</v>
      </c>
      <c r="B70" s="232" t="s">
        <v>2073</v>
      </c>
      <c r="C70" s="233" t="s">
        <v>2074</v>
      </c>
      <c r="D70" s="233" t="s">
        <v>2075</v>
      </c>
      <c r="E70" s="227">
        <v>160</v>
      </c>
      <c r="F70" s="228">
        <v>1000</v>
      </c>
      <c r="G70" s="225">
        <v>0</v>
      </c>
      <c r="H70" s="224">
        <f t="shared" ref="H70:H133" si="4">IF(B70="","",(F70/E70)*G70)</f>
        <v>0</v>
      </c>
      <c r="I70" s="224">
        <v>0</v>
      </c>
      <c r="J70" s="226">
        <f t="shared" ref="J70:J133" si="5">IF(B70="","",F70-H70-I70)</f>
        <v>1000</v>
      </c>
    </row>
    <row r="71" spans="1:10" ht="13.5" customHeight="1" thickBot="1" x14ac:dyDescent="0.3">
      <c r="A71" s="220">
        <f t="shared" si="3"/>
        <v>67</v>
      </c>
      <c r="B71" s="232" t="s">
        <v>2064</v>
      </c>
      <c r="C71" s="233" t="s">
        <v>2065</v>
      </c>
      <c r="D71" s="233" t="s">
        <v>2066</v>
      </c>
      <c r="E71" s="227">
        <v>160</v>
      </c>
      <c r="F71" s="228">
        <v>1000</v>
      </c>
      <c r="G71" s="225">
        <v>0</v>
      </c>
      <c r="H71" s="224">
        <f t="shared" si="4"/>
        <v>0</v>
      </c>
      <c r="I71" s="224">
        <v>0</v>
      </c>
      <c r="J71" s="226">
        <f t="shared" si="5"/>
        <v>1000</v>
      </c>
    </row>
    <row r="72" spans="1:10" ht="13.5" customHeight="1" thickBot="1" x14ac:dyDescent="0.3">
      <c r="A72" s="220">
        <f t="shared" si="3"/>
        <v>68</v>
      </c>
      <c r="B72" s="232" t="s">
        <v>2067</v>
      </c>
      <c r="C72" s="233" t="s">
        <v>2068</v>
      </c>
      <c r="D72" s="233" t="s">
        <v>2069</v>
      </c>
      <c r="E72" s="227">
        <v>160</v>
      </c>
      <c r="F72" s="228">
        <v>1000</v>
      </c>
      <c r="G72" s="225">
        <v>0</v>
      </c>
      <c r="H72" s="224">
        <f t="shared" si="4"/>
        <v>0</v>
      </c>
      <c r="I72" s="224">
        <v>0</v>
      </c>
      <c r="J72" s="226">
        <f t="shared" si="5"/>
        <v>1000</v>
      </c>
    </row>
    <row r="73" spans="1:10" ht="13.5" customHeight="1" thickBot="1" x14ac:dyDescent="0.3">
      <c r="A73" s="220">
        <f t="shared" si="3"/>
        <v>69</v>
      </c>
      <c r="B73" s="232" t="s">
        <v>2076</v>
      </c>
      <c r="C73" s="233" t="s">
        <v>2077</v>
      </c>
      <c r="D73" s="233" t="s">
        <v>2078</v>
      </c>
      <c r="E73" s="227">
        <v>160</v>
      </c>
      <c r="F73" s="228">
        <v>1000</v>
      </c>
      <c r="G73" s="225">
        <v>0</v>
      </c>
      <c r="H73" s="224">
        <f t="shared" si="4"/>
        <v>0</v>
      </c>
      <c r="I73" s="224">
        <v>0</v>
      </c>
      <c r="J73" s="226">
        <f t="shared" si="5"/>
        <v>1000</v>
      </c>
    </row>
    <row r="74" spans="1:10" ht="13.5" customHeight="1" thickBot="1" x14ac:dyDescent="0.3">
      <c r="A74" s="220">
        <f t="shared" si="3"/>
        <v>70</v>
      </c>
      <c r="B74" s="232" t="s">
        <v>2079</v>
      </c>
      <c r="C74" s="233" t="s">
        <v>2080</v>
      </c>
      <c r="D74" s="233" t="s">
        <v>2081</v>
      </c>
      <c r="E74" s="227">
        <v>160</v>
      </c>
      <c r="F74" s="228">
        <v>1000</v>
      </c>
      <c r="G74" s="225">
        <v>0</v>
      </c>
      <c r="H74" s="224">
        <f t="shared" si="4"/>
        <v>0</v>
      </c>
      <c r="I74" s="224">
        <v>0</v>
      </c>
      <c r="J74" s="226">
        <f t="shared" si="5"/>
        <v>1000</v>
      </c>
    </row>
    <row r="75" spans="1:10" ht="13.5" customHeight="1" thickBot="1" x14ac:dyDescent="0.3">
      <c r="A75" s="220">
        <f t="shared" si="3"/>
        <v>71</v>
      </c>
      <c r="B75" s="232" t="s">
        <v>2181</v>
      </c>
      <c r="C75" s="233" t="s">
        <v>2182</v>
      </c>
      <c r="D75" s="233" t="s">
        <v>2183</v>
      </c>
      <c r="E75" s="227">
        <v>160</v>
      </c>
      <c r="F75" s="228">
        <v>1000</v>
      </c>
      <c r="G75" s="225">
        <v>0</v>
      </c>
      <c r="H75" s="224">
        <f t="shared" si="4"/>
        <v>0</v>
      </c>
      <c r="I75" s="224">
        <v>0</v>
      </c>
      <c r="J75" s="226">
        <f t="shared" si="5"/>
        <v>1000</v>
      </c>
    </row>
    <row r="76" spans="1:10" ht="13.5" customHeight="1" thickBot="1" x14ac:dyDescent="0.3">
      <c r="A76" s="220">
        <f t="shared" si="3"/>
        <v>72</v>
      </c>
      <c r="B76" s="232" t="s">
        <v>2184</v>
      </c>
      <c r="C76" s="233" t="s">
        <v>2185</v>
      </c>
      <c r="D76" s="233" t="s">
        <v>2186</v>
      </c>
      <c r="E76" s="227">
        <v>160</v>
      </c>
      <c r="F76" s="228">
        <v>1000</v>
      </c>
      <c r="G76" s="225">
        <v>0</v>
      </c>
      <c r="H76" s="224">
        <f t="shared" si="4"/>
        <v>0</v>
      </c>
      <c r="I76" s="224">
        <v>0</v>
      </c>
      <c r="J76" s="226">
        <f t="shared" si="5"/>
        <v>1000</v>
      </c>
    </row>
    <row r="77" spans="1:10" ht="13.5" customHeight="1" thickBot="1" x14ac:dyDescent="0.3">
      <c r="A77" s="220">
        <f t="shared" si="3"/>
        <v>73</v>
      </c>
      <c r="B77" s="232" t="s">
        <v>2091</v>
      </c>
      <c r="C77" s="233" t="s">
        <v>2092</v>
      </c>
      <c r="D77" s="233" t="s">
        <v>2093</v>
      </c>
      <c r="E77" s="227">
        <v>160</v>
      </c>
      <c r="F77" s="228">
        <v>1000</v>
      </c>
      <c r="G77" s="225">
        <v>0</v>
      </c>
      <c r="H77" s="224">
        <f t="shared" si="4"/>
        <v>0</v>
      </c>
      <c r="I77" s="224">
        <v>0</v>
      </c>
      <c r="J77" s="226">
        <f t="shared" si="5"/>
        <v>1000</v>
      </c>
    </row>
    <row r="78" spans="1:10" ht="13.5" customHeight="1" thickBot="1" x14ac:dyDescent="0.3">
      <c r="A78" s="220">
        <f t="shared" si="3"/>
        <v>74</v>
      </c>
      <c r="B78" s="232" t="s">
        <v>2094</v>
      </c>
      <c r="C78" s="233" t="s">
        <v>2095</v>
      </c>
      <c r="D78" s="233" t="s">
        <v>2096</v>
      </c>
      <c r="E78" s="227">
        <v>160</v>
      </c>
      <c r="F78" s="228">
        <v>1000</v>
      </c>
      <c r="G78" s="225">
        <v>0</v>
      </c>
      <c r="H78" s="224">
        <f t="shared" si="4"/>
        <v>0</v>
      </c>
      <c r="I78" s="224">
        <v>0</v>
      </c>
      <c r="J78" s="226">
        <f t="shared" si="5"/>
        <v>1000</v>
      </c>
    </row>
    <row r="79" spans="1:10" ht="13.5" customHeight="1" thickBot="1" x14ac:dyDescent="0.3">
      <c r="A79" s="220">
        <f t="shared" si="3"/>
        <v>75</v>
      </c>
      <c r="B79" s="232" t="s">
        <v>2088</v>
      </c>
      <c r="C79" s="233" t="s">
        <v>2089</v>
      </c>
      <c r="D79" s="233" t="s">
        <v>2090</v>
      </c>
      <c r="E79" s="227">
        <v>160</v>
      </c>
      <c r="F79" s="228">
        <v>1000</v>
      </c>
      <c r="G79" s="225">
        <v>0</v>
      </c>
      <c r="H79" s="224">
        <f t="shared" si="4"/>
        <v>0</v>
      </c>
      <c r="I79" s="224">
        <v>0</v>
      </c>
      <c r="J79" s="226">
        <f t="shared" si="5"/>
        <v>1000</v>
      </c>
    </row>
    <row r="80" spans="1:10" ht="13.5" customHeight="1" thickBot="1" x14ac:dyDescent="0.3">
      <c r="A80" s="220">
        <f t="shared" si="3"/>
        <v>76</v>
      </c>
      <c r="B80" s="232" t="s">
        <v>2085</v>
      </c>
      <c r="C80" s="233" t="s">
        <v>2086</v>
      </c>
      <c r="D80" s="233" t="s">
        <v>2087</v>
      </c>
      <c r="E80" s="227">
        <v>160</v>
      </c>
      <c r="F80" s="228">
        <v>1000</v>
      </c>
      <c r="G80" s="225">
        <v>0</v>
      </c>
      <c r="H80" s="224">
        <f t="shared" si="4"/>
        <v>0</v>
      </c>
      <c r="I80" s="224">
        <v>0</v>
      </c>
      <c r="J80" s="226">
        <f t="shared" si="5"/>
        <v>1000</v>
      </c>
    </row>
    <row r="81" spans="1:10" ht="13.5" customHeight="1" thickBot="1" x14ac:dyDescent="0.3">
      <c r="A81" s="220">
        <f t="shared" si="3"/>
        <v>77</v>
      </c>
      <c r="B81" s="232" t="s">
        <v>2082</v>
      </c>
      <c r="C81" s="233" t="s">
        <v>2083</v>
      </c>
      <c r="D81" s="233" t="s">
        <v>2084</v>
      </c>
      <c r="E81" s="227">
        <v>160</v>
      </c>
      <c r="F81" s="228">
        <v>1000</v>
      </c>
      <c r="G81" s="225">
        <v>0</v>
      </c>
      <c r="H81" s="224">
        <f t="shared" si="4"/>
        <v>0</v>
      </c>
      <c r="I81" s="224">
        <v>0</v>
      </c>
      <c r="J81" s="226">
        <f t="shared" si="5"/>
        <v>1000</v>
      </c>
    </row>
    <row r="82" spans="1:10" ht="13.5" customHeight="1" thickBot="1" x14ac:dyDescent="0.3">
      <c r="A82" s="220">
        <f t="shared" si="3"/>
        <v>78</v>
      </c>
      <c r="B82" s="232" t="s">
        <v>2097</v>
      </c>
      <c r="C82" s="233" t="s">
        <v>2098</v>
      </c>
      <c r="D82" s="233" t="s">
        <v>2099</v>
      </c>
      <c r="E82" s="227">
        <v>160</v>
      </c>
      <c r="F82" s="228">
        <v>1000</v>
      </c>
      <c r="G82" s="225">
        <v>0</v>
      </c>
      <c r="H82" s="224">
        <f t="shared" si="4"/>
        <v>0</v>
      </c>
      <c r="I82" s="224">
        <v>0</v>
      </c>
      <c r="J82" s="226">
        <f t="shared" si="5"/>
        <v>1000</v>
      </c>
    </row>
    <row r="83" spans="1:10" ht="13.5" customHeight="1" thickBot="1" x14ac:dyDescent="0.3">
      <c r="A83" s="220">
        <f t="shared" si="3"/>
        <v>79</v>
      </c>
      <c r="B83" s="232" t="s">
        <v>2187</v>
      </c>
      <c r="C83" s="233" t="s">
        <v>2188</v>
      </c>
      <c r="D83" s="233" t="s">
        <v>2189</v>
      </c>
      <c r="E83" s="227">
        <v>160</v>
      </c>
      <c r="F83" s="228">
        <v>1000</v>
      </c>
      <c r="G83" s="225">
        <v>0</v>
      </c>
      <c r="H83" s="224">
        <f t="shared" si="4"/>
        <v>0</v>
      </c>
      <c r="I83" s="224">
        <v>0</v>
      </c>
      <c r="J83" s="226">
        <f t="shared" si="5"/>
        <v>1000</v>
      </c>
    </row>
    <row r="84" spans="1:10" ht="13.5" customHeight="1" thickBot="1" x14ac:dyDescent="0.3">
      <c r="A84" s="220">
        <f t="shared" si="3"/>
        <v>80</v>
      </c>
      <c r="B84" s="232" t="s">
        <v>2100</v>
      </c>
      <c r="C84" s="233" t="s">
        <v>2101</v>
      </c>
      <c r="D84" s="233" t="s">
        <v>2102</v>
      </c>
      <c r="E84" s="227">
        <v>160</v>
      </c>
      <c r="F84" s="228">
        <v>1000</v>
      </c>
      <c r="G84" s="225">
        <v>0</v>
      </c>
      <c r="H84" s="224">
        <f t="shared" si="4"/>
        <v>0</v>
      </c>
      <c r="I84" s="224">
        <v>0</v>
      </c>
      <c r="J84" s="226">
        <f t="shared" si="5"/>
        <v>1000</v>
      </c>
    </row>
    <row r="85" spans="1:10" ht="13.5" customHeight="1" thickBot="1" x14ac:dyDescent="0.3">
      <c r="A85" s="220">
        <f t="shared" si="3"/>
        <v>81</v>
      </c>
      <c r="B85" s="232" t="s">
        <v>2103</v>
      </c>
      <c r="C85" s="233" t="s">
        <v>2104</v>
      </c>
      <c r="D85" s="233" t="s">
        <v>2105</v>
      </c>
      <c r="E85" s="227">
        <v>160</v>
      </c>
      <c r="F85" s="228">
        <v>1000</v>
      </c>
      <c r="G85" s="225">
        <v>0</v>
      </c>
      <c r="H85" s="224">
        <f t="shared" si="4"/>
        <v>0</v>
      </c>
      <c r="I85" s="224">
        <v>0</v>
      </c>
      <c r="J85" s="226">
        <f t="shared" si="5"/>
        <v>1000</v>
      </c>
    </row>
    <row r="86" spans="1:10" ht="13.5" customHeight="1" thickBot="1" x14ac:dyDescent="0.3">
      <c r="A86" s="220">
        <f t="shared" si="3"/>
        <v>82</v>
      </c>
      <c r="B86" s="232" t="s">
        <v>2106</v>
      </c>
      <c r="C86" s="233" t="s">
        <v>2107</v>
      </c>
      <c r="D86" s="233" t="s">
        <v>2108</v>
      </c>
      <c r="E86" s="227">
        <v>160</v>
      </c>
      <c r="F86" s="228">
        <v>1000</v>
      </c>
      <c r="G86" s="225">
        <v>0</v>
      </c>
      <c r="H86" s="224">
        <f t="shared" si="4"/>
        <v>0</v>
      </c>
      <c r="I86" s="224">
        <v>0</v>
      </c>
      <c r="J86" s="226">
        <f t="shared" si="5"/>
        <v>1000</v>
      </c>
    </row>
    <row r="87" spans="1:10" ht="13.5" customHeight="1" thickBot="1" x14ac:dyDescent="0.3">
      <c r="A87" s="220">
        <f t="shared" si="3"/>
        <v>83</v>
      </c>
      <c r="B87" s="232" t="s">
        <v>2109</v>
      </c>
      <c r="C87" s="233" t="s">
        <v>2110</v>
      </c>
      <c r="D87" s="233" t="s">
        <v>2111</v>
      </c>
      <c r="E87" s="227">
        <v>160</v>
      </c>
      <c r="F87" s="228">
        <v>1000</v>
      </c>
      <c r="G87" s="225">
        <v>0</v>
      </c>
      <c r="H87" s="224">
        <f t="shared" si="4"/>
        <v>0</v>
      </c>
      <c r="I87" s="224">
        <v>0</v>
      </c>
      <c r="J87" s="226">
        <f t="shared" si="5"/>
        <v>1000</v>
      </c>
    </row>
    <row r="88" spans="1:10" ht="13.5" customHeight="1" thickBot="1" x14ac:dyDescent="0.3">
      <c r="A88" s="220">
        <f t="shared" si="3"/>
        <v>84</v>
      </c>
      <c r="B88" s="232" t="s">
        <v>2112</v>
      </c>
      <c r="C88" s="233" t="s">
        <v>2113</v>
      </c>
      <c r="D88" s="233">
        <v>0</v>
      </c>
      <c r="E88" s="227">
        <v>160</v>
      </c>
      <c r="F88" s="228">
        <v>1000</v>
      </c>
      <c r="G88" s="225">
        <v>0</v>
      </c>
      <c r="H88" s="224">
        <f t="shared" si="4"/>
        <v>0</v>
      </c>
      <c r="I88" s="224">
        <v>0</v>
      </c>
      <c r="J88" s="226">
        <f t="shared" si="5"/>
        <v>1000</v>
      </c>
    </row>
    <row r="89" spans="1:10" ht="13.5" customHeight="1" thickBot="1" x14ac:dyDescent="0.3">
      <c r="A89" s="220">
        <f t="shared" si="3"/>
        <v>85</v>
      </c>
      <c r="B89" s="232" t="s">
        <v>2190</v>
      </c>
      <c r="C89" s="233" t="s">
        <v>2191</v>
      </c>
      <c r="D89" s="233" t="s">
        <v>2192</v>
      </c>
      <c r="E89" s="227">
        <v>160</v>
      </c>
      <c r="F89" s="228">
        <v>1000</v>
      </c>
      <c r="G89" s="225">
        <v>0</v>
      </c>
      <c r="H89" s="224">
        <f t="shared" si="4"/>
        <v>0</v>
      </c>
      <c r="I89" s="224">
        <v>0</v>
      </c>
      <c r="J89" s="226">
        <f t="shared" si="5"/>
        <v>1000</v>
      </c>
    </row>
    <row r="90" spans="1:10" ht="13.5" customHeight="1" thickBot="1" x14ac:dyDescent="0.3">
      <c r="A90" s="220">
        <f t="shared" si="3"/>
        <v>86</v>
      </c>
      <c r="B90" s="232" t="s">
        <v>2114</v>
      </c>
      <c r="C90" s="233" t="s">
        <v>2115</v>
      </c>
      <c r="D90" s="233" t="s">
        <v>2116</v>
      </c>
      <c r="E90" s="227">
        <v>160</v>
      </c>
      <c r="F90" s="228">
        <v>1000</v>
      </c>
      <c r="G90" s="225">
        <v>0</v>
      </c>
      <c r="H90" s="224">
        <f t="shared" si="4"/>
        <v>0</v>
      </c>
      <c r="I90" s="224">
        <v>0</v>
      </c>
      <c r="J90" s="226">
        <f t="shared" si="5"/>
        <v>1000</v>
      </c>
    </row>
    <row r="91" spans="1:10" ht="13.5" customHeight="1" thickBot="1" x14ac:dyDescent="0.3">
      <c r="A91" s="220">
        <f t="shared" si="3"/>
        <v>87</v>
      </c>
      <c r="B91" s="232" t="s">
        <v>2117</v>
      </c>
      <c r="C91" s="233" t="s">
        <v>2118</v>
      </c>
      <c r="D91" s="233" t="s">
        <v>2119</v>
      </c>
      <c r="E91" s="227">
        <v>160</v>
      </c>
      <c r="F91" s="228">
        <v>1000</v>
      </c>
      <c r="G91" s="225">
        <v>0</v>
      </c>
      <c r="H91" s="224">
        <f t="shared" si="4"/>
        <v>0</v>
      </c>
      <c r="I91" s="224">
        <v>0</v>
      </c>
      <c r="J91" s="226">
        <f t="shared" si="5"/>
        <v>1000</v>
      </c>
    </row>
    <row r="92" spans="1:10" ht="13.5" customHeight="1" thickBot="1" x14ac:dyDescent="0.3">
      <c r="A92" s="220">
        <f t="shared" si="3"/>
        <v>88</v>
      </c>
      <c r="B92" s="232" t="s">
        <v>2120</v>
      </c>
      <c r="C92" s="233" t="s">
        <v>2121</v>
      </c>
      <c r="D92" s="233" t="s">
        <v>2122</v>
      </c>
      <c r="E92" s="227">
        <v>160</v>
      </c>
      <c r="F92" s="228">
        <v>1000</v>
      </c>
      <c r="G92" s="225">
        <v>0</v>
      </c>
      <c r="H92" s="224">
        <f t="shared" si="4"/>
        <v>0</v>
      </c>
      <c r="I92" s="224">
        <v>0</v>
      </c>
      <c r="J92" s="226">
        <f t="shared" si="5"/>
        <v>1000</v>
      </c>
    </row>
    <row r="93" spans="1:10" ht="13.5" customHeight="1" thickBot="1" x14ac:dyDescent="0.3">
      <c r="A93" s="220">
        <f t="shared" si="3"/>
        <v>89</v>
      </c>
      <c r="B93" s="232" t="s">
        <v>2193</v>
      </c>
      <c r="C93" s="233" t="s">
        <v>2194</v>
      </c>
      <c r="D93" s="233">
        <v>0</v>
      </c>
      <c r="E93" s="227">
        <v>160</v>
      </c>
      <c r="F93" s="228">
        <v>1000</v>
      </c>
      <c r="G93" s="225">
        <v>0</v>
      </c>
      <c r="H93" s="224">
        <f t="shared" si="4"/>
        <v>0</v>
      </c>
      <c r="I93" s="224">
        <v>0</v>
      </c>
      <c r="J93" s="226">
        <f t="shared" si="5"/>
        <v>1000</v>
      </c>
    </row>
    <row r="94" spans="1:10" ht="13.5" customHeight="1" thickBot="1" x14ac:dyDescent="0.3">
      <c r="A94" s="220">
        <f t="shared" si="3"/>
        <v>90</v>
      </c>
      <c r="B94" s="232" t="s">
        <v>2126</v>
      </c>
      <c r="C94" s="233" t="s">
        <v>2127</v>
      </c>
      <c r="D94" s="233" t="s">
        <v>2128</v>
      </c>
      <c r="E94" s="227">
        <v>160</v>
      </c>
      <c r="F94" s="228">
        <v>1000</v>
      </c>
      <c r="G94" s="225">
        <v>0</v>
      </c>
      <c r="H94" s="224">
        <f t="shared" si="4"/>
        <v>0</v>
      </c>
      <c r="I94" s="224">
        <v>0</v>
      </c>
      <c r="J94" s="226">
        <f t="shared" si="5"/>
        <v>1000</v>
      </c>
    </row>
    <row r="95" spans="1:10" ht="13.5" customHeight="1" thickBot="1" x14ac:dyDescent="0.3">
      <c r="A95" s="220">
        <f t="shared" si="3"/>
        <v>91</v>
      </c>
      <c r="B95" s="232" t="s">
        <v>2195</v>
      </c>
      <c r="C95" s="233" t="s">
        <v>2196</v>
      </c>
      <c r="D95" s="233" t="s">
        <v>2197</v>
      </c>
      <c r="E95" s="227">
        <v>160</v>
      </c>
      <c r="F95" s="228">
        <v>1000</v>
      </c>
      <c r="G95" s="225">
        <v>0</v>
      </c>
      <c r="H95" s="224">
        <f t="shared" si="4"/>
        <v>0</v>
      </c>
      <c r="I95" s="224">
        <v>0</v>
      </c>
      <c r="J95" s="226">
        <f t="shared" si="5"/>
        <v>1000</v>
      </c>
    </row>
    <row r="96" spans="1:10" ht="13.5" customHeight="1" thickBot="1" x14ac:dyDescent="0.3">
      <c r="A96" s="220">
        <f t="shared" si="3"/>
        <v>92</v>
      </c>
      <c r="B96" s="232" t="s">
        <v>2132</v>
      </c>
      <c r="C96" s="233" t="s">
        <v>2133</v>
      </c>
      <c r="D96" s="233" t="s">
        <v>2134</v>
      </c>
      <c r="E96" s="227">
        <v>160</v>
      </c>
      <c r="F96" s="228">
        <v>1000</v>
      </c>
      <c r="G96" s="225">
        <v>0</v>
      </c>
      <c r="H96" s="224">
        <f t="shared" si="4"/>
        <v>0</v>
      </c>
      <c r="I96" s="224">
        <v>0</v>
      </c>
      <c r="J96" s="226">
        <f t="shared" si="5"/>
        <v>1000</v>
      </c>
    </row>
    <row r="97" spans="1:10" ht="13.5" customHeight="1" thickBot="1" x14ac:dyDescent="0.3">
      <c r="A97" s="220">
        <f t="shared" si="3"/>
        <v>93</v>
      </c>
      <c r="B97" s="232" t="s">
        <v>2123</v>
      </c>
      <c r="C97" s="233" t="s">
        <v>2124</v>
      </c>
      <c r="D97" s="233" t="s">
        <v>2125</v>
      </c>
      <c r="E97" s="227">
        <v>160</v>
      </c>
      <c r="F97" s="228">
        <v>1000</v>
      </c>
      <c r="G97" s="225">
        <v>0</v>
      </c>
      <c r="H97" s="224">
        <f t="shared" si="4"/>
        <v>0</v>
      </c>
      <c r="I97" s="224">
        <v>0</v>
      </c>
      <c r="J97" s="226">
        <f t="shared" si="5"/>
        <v>1000</v>
      </c>
    </row>
    <row r="98" spans="1:10" ht="13.5" customHeight="1" thickBot="1" x14ac:dyDescent="0.3">
      <c r="A98" s="220">
        <f t="shared" si="3"/>
        <v>94</v>
      </c>
      <c r="B98" s="232" t="s">
        <v>2139</v>
      </c>
      <c r="C98" s="233" t="s">
        <v>2127</v>
      </c>
      <c r="D98" s="233" t="s">
        <v>2140</v>
      </c>
      <c r="E98" s="227">
        <v>160</v>
      </c>
      <c r="F98" s="228">
        <v>1000</v>
      </c>
      <c r="G98" s="225">
        <v>0</v>
      </c>
      <c r="H98" s="224">
        <f t="shared" si="4"/>
        <v>0</v>
      </c>
      <c r="I98" s="224">
        <v>0</v>
      </c>
      <c r="J98" s="226">
        <f t="shared" si="5"/>
        <v>1000</v>
      </c>
    </row>
    <row r="99" spans="1:10" ht="13.5" customHeight="1" thickBot="1" x14ac:dyDescent="0.3">
      <c r="A99" s="220">
        <f t="shared" si="3"/>
        <v>95</v>
      </c>
      <c r="B99" s="232" t="s">
        <v>2141</v>
      </c>
      <c r="C99" s="233" t="s">
        <v>2142</v>
      </c>
      <c r="D99" s="233" t="s">
        <v>2143</v>
      </c>
      <c r="E99" s="227">
        <v>160</v>
      </c>
      <c r="F99" s="228">
        <v>1000</v>
      </c>
      <c r="G99" s="225">
        <v>0</v>
      </c>
      <c r="H99" s="224">
        <f t="shared" si="4"/>
        <v>0</v>
      </c>
      <c r="I99" s="224">
        <v>0</v>
      </c>
      <c r="J99" s="226">
        <f t="shared" si="5"/>
        <v>1000</v>
      </c>
    </row>
    <row r="100" spans="1:10" ht="13.5" customHeight="1" thickBot="1" x14ac:dyDescent="0.3">
      <c r="A100" s="220">
        <f t="shared" si="3"/>
        <v>96</v>
      </c>
      <c r="B100" s="232" t="s">
        <v>2136</v>
      </c>
      <c r="C100" s="233" t="s">
        <v>2137</v>
      </c>
      <c r="D100" s="233" t="s">
        <v>2138</v>
      </c>
      <c r="E100" s="227">
        <v>160</v>
      </c>
      <c r="F100" s="228">
        <v>1000</v>
      </c>
      <c r="G100" s="225">
        <v>0</v>
      </c>
      <c r="H100" s="224">
        <f t="shared" si="4"/>
        <v>0</v>
      </c>
      <c r="I100" s="224">
        <v>0</v>
      </c>
      <c r="J100" s="226">
        <f t="shared" si="5"/>
        <v>1000</v>
      </c>
    </row>
    <row r="101" spans="1:10" ht="13.5" customHeight="1" thickBot="1" x14ac:dyDescent="0.3">
      <c r="A101" s="220">
        <f t="shared" si="3"/>
        <v>97</v>
      </c>
      <c r="B101" s="232" t="s">
        <v>2198</v>
      </c>
      <c r="C101" s="233" t="s">
        <v>2199</v>
      </c>
      <c r="D101" s="233">
        <v>0</v>
      </c>
      <c r="E101" s="227">
        <v>160</v>
      </c>
      <c r="F101" s="228">
        <v>1000</v>
      </c>
      <c r="G101" s="225">
        <v>0</v>
      </c>
      <c r="H101" s="224">
        <f t="shared" si="4"/>
        <v>0</v>
      </c>
      <c r="I101" s="224">
        <v>0</v>
      </c>
      <c r="J101" s="226">
        <f t="shared" si="5"/>
        <v>1000</v>
      </c>
    </row>
    <row r="102" spans="1:10" ht="13.5" customHeight="1" thickBot="1" x14ac:dyDescent="0.3">
      <c r="A102" s="220">
        <f t="shared" si="3"/>
        <v>98</v>
      </c>
      <c r="B102" s="232" t="s">
        <v>2200</v>
      </c>
      <c r="C102" s="233" t="s">
        <v>2121</v>
      </c>
      <c r="D102" s="233">
        <v>0</v>
      </c>
      <c r="E102" s="227">
        <v>160</v>
      </c>
      <c r="F102" s="228">
        <v>1000</v>
      </c>
      <c r="G102" s="225">
        <v>0</v>
      </c>
      <c r="H102" s="224">
        <f t="shared" si="4"/>
        <v>0</v>
      </c>
      <c r="I102" s="224">
        <v>0</v>
      </c>
      <c r="J102" s="226">
        <f t="shared" si="5"/>
        <v>1000</v>
      </c>
    </row>
    <row r="103" spans="1:10" ht="13.5" customHeight="1" thickBot="1" x14ac:dyDescent="0.3">
      <c r="A103" s="220">
        <f t="shared" si="3"/>
        <v>99</v>
      </c>
      <c r="B103" s="232" t="s">
        <v>2135</v>
      </c>
      <c r="C103" s="233" t="s">
        <v>2121</v>
      </c>
      <c r="D103" s="233" t="s">
        <v>2201</v>
      </c>
      <c r="E103" s="227">
        <v>160</v>
      </c>
      <c r="F103" s="228">
        <v>1000</v>
      </c>
      <c r="G103" s="225">
        <v>0</v>
      </c>
      <c r="H103" s="224">
        <f t="shared" si="4"/>
        <v>0</v>
      </c>
      <c r="I103" s="224">
        <v>0</v>
      </c>
      <c r="J103" s="226">
        <f t="shared" si="5"/>
        <v>1000</v>
      </c>
    </row>
    <row r="104" spans="1:10" ht="13.5" customHeight="1" thickBot="1" x14ac:dyDescent="0.3">
      <c r="A104" s="220">
        <f t="shared" si="3"/>
        <v>100</v>
      </c>
      <c r="B104" s="232" t="s">
        <v>2202</v>
      </c>
      <c r="C104" s="233" t="s">
        <v>2203</v>
      </c>
      <c r="D104" s="233">
        <v>0</v>
      </c>
      <c r="E104" s="227">
        <v>160</v>
      </c>
      <c r="F104" s="228">
        <v>1000</v>
      </c>
      <c r="G104" s="225">
        <v>0</v>
      </c>
      <c r="H104" s="224">
        <f t="shared" si="4"/>
        <v>0</v>
      </c>
      <c r="I104" s="224">
        <v>0</v>
      </c>
      <c r="J104" s="226">
        <f t="shared" si="5"/>
        <v>1000</v>
      </c>
    </row>
    <row r="105" spans="1:10" ht="13.5" customHeight="1" thickBot="1" x14ac:dyDescent="0.3">
      <c r="A105" s="220">
        <f t="shared" si="3"/>
        <v>101</v>
      </c>
      <c r="B105" s="232" t="s">
        <v>2204</v>
      </c>
      <c r="C105" s="233" t="s">
        <v>2205</v>
      </c>
      <c r="D105" s="233">
        <v>0</v>
      </c>
      <c r="E105" s="227">
        <v>160</v>
      </c>
      <c r="F105" s="228">
        <v>1000</v>
      </c>
      <c r="G105" s="225">
        <v>0</v>
      </c>
      <c r="H105" s="224">
        <f t="shared" si="4"/>
        <v>0</v>
      </c>
      <c r="I105" s="224">
        <v>0</v>
      </c>
      <c r="J105" s="226">
        <f t="shared" si="5"/>
        <v>1000</v>
      </c>
    </row>
    <row r="106" spans="1:10" ht="13.5" customHeight="1" thickBot="1" x14ac:dyDescent="0.3">
      <c r="A106" s="220">
        <f t="shared" si="3"/>
        <v>102</v>
      </c>
      <c r="B106" s="232" t="s">
        <v>2129</v>
      </c>
      <c r="C106" s="233" t="s">
        <v>2130</v>
      </c>
      <c r="D106" s="233" t="s">
        <v>2131</v>
      </c>
      <c r="E106" s="227">
        <v>160</v>
      </c>
      <c r="F106" s="228">
        <v>1000</v>
      </c>
      <c r="G106" s="225">
        <v>0</v>
      </c>
      <c r="H106" s="224">
        <f t="shared" si="4"/>
        <v>0</v>
      </c>
      <c r="I106" s="224">
        <v>0</v>
      </c>
      <c r="J106" s="226">
        <f t="shared" si="5"/>
        <v>1000</v>
      </c>
    </row>
    <row r="107" spans="1:10" ht="13.5" customHeight="1" thickBot="1" x14ac:dyDescent="0.3">
      <c r="A107" s="220">
        <f t="shared" si="3"/>
        <v>103</v>
      </c>
      <c r="B107" s="232" t="s">
        <v>2144</v>
      </c>
      <c r="C107" s="233" t="s">
        <v>2145</v>
      </c>
      <c r="D107" s="233" t="s">
        <v>2146</v>
      </c>
      <c r="E107" s="227">
        <v>160</v>
      </c>
      <c r="F107" s="228">
        <v>1000</v>
      </c>
      <c r="G107" s="225">
        <v>0</v>
      </c>
      <c r="H107" s="224">
        <f t="shared" si="4"/>
        <v>0</v>
      </c>
      <c r="I107" s="224">
        <v>0</v>
      </c>
      <c r="J107" s="226">
        <f t="shared" si="5"/>
        <v>1000</v>
      </c>
    </row>
    <row r="108" spans="1:10" ht="13.5" customHeight="1" thickBot="1" x14ac:dyDescent="0.3">
      <c r="A108" s="220">
        <f t="shared" si="3"/>
        <v>104</v>
      </c>
      <c r="B108" s="232" t="s">
        <v>2206</v>
      </c>
      <c r="C108" s="233" t="s">
        <v>2057</v>
      </c>
      <c r="D108" s="233">
        <v>0</v>
      </c>
      <c r="E108" s="227">
        <v>160</v>
      </c>
      <c r="F108" s="228">
        <v>1000</v>
      </c>
      <c r="G108" s="225">
        <v>0</v>
      </c>
      <c r="H108" s="224">
        <f t="shared" si="4"/>
        <v>0</v>
      </c>
      <c r="I108" s="224">
        <v>0</v>
      </c>
      <c r="J108" s="226">
        <f t="shared" si="5"/>
        <v>1000</v>
      </c>
    </row>
    <row r="109" spans="1:10" ht="13.5" customHeight="1" thickBot="1" x14ac:dyDescent="0.3">
      <c r="A109" s="220">
        <f t="shared" si="3"/>
        <v>105</v>
      </c>
      <c r="B109" s="232" t="s">
        <v>2207</v>
      </c>
      <c r="C109" s="233" t="s">
        <v>2049</v>
      </c>
      <c r="D109" s="233">
        <v>0</v>
      </c>
      <c r="E109" s="227">
        <v>160</v>
      </c>
      <c r="F109" s="228">
        <v>1000</v>
      </c>
      <c r="G109" s="225">
        <v>0</v>
      </c>
      <c r="H109" s="224">
        <f t="shared" si="4"/>
        <v>0</v>
      </c>
      <c r="I109" s="224">
        <v>0</v>
      </c>
      <c r="J109" s="226">
        <f t="shared" si="5"/>
        <v>1000</v>
      </c>
    </row>
    <row r="110" spans="1:10" ht="13.5" customHeight="1" thickBot="1" x14ac:dyDescent="0.3">
      <c r="A110" s="220">
        <f t="shared" si="3"/>
        <v>106</v>
      </c>
      <c r="B110" s="232" t="s">
        <v>2147</v>
      </c>
      <c r="C110" s="233" t="s">
        <v>2148</v>
      </c>
      <c r="D110" s="233">
        <v>0</v>
      </c>
      <c r="E110" s="227">
        <v>160</v>
      </c>
      <c r="F110" s="228">
        <v>1000</v>
      </c>
      <c r="G110" s="225">
        <v>0</v>
      </c>
      <c r="H110" s="224">
        <f t="shared" si="4"/>
        <v>0</v>
      </c>
      <c r="I110" s="224">
        <v>0</v>
      </c>
      <c r="J110" s="226">
        <f t="shared" si="5"/>
        <v>1000</v>
      </c>
    </row>
    <row r="111" spans="1:10" ht="13.5" customHeight="1" thickBot="1" x14ac:dyDescent="0.3">
      <c r="A111" s="220">
        <f t="shared" si="3"/>
        <v>107</v>
      </c>
      <c r="B111" s="232" t="s">
        <v>2149</v>
      </c>
      <c r="C111" s="233" t="s">
        <v>2150</v>
      </c>
      <c r="D111" s="233">
        <v>0</v>
      </c>
      <c r="E111" s="227">
        <v>160</v>
      </c>
      <c r="F111" s="228">
        <v>1000</v>
      </c>
      <c r="G111" s="225">
        <v>0</v>
      </c>
      <c r="H111" s="224">
        <f t="shared" si="4"/>
        <v>0</v>
      </c>
      <c r="I111" s="224">
        <v>0</v>
      </c>
      <c r="J111" s="226">
        <f t="shared" si="5"/>
        <v>1000</v>
      </c>
    </row>
    <row r="112" spans="1:10" ht="13.5" customHeight="1" thickBot="1" x14ac:dyDescent="0.3">
      <c r="A112" s="220">
        <f t="shared" si="3"/>
        <v>108</v>
      </c>
      <c r="B112" s="232" t="s">
        <v>2151</v>
      </c>
      <c r="C112" s="233" t="s">
        <v>2152</v>
      </c>
      <c r="D112" s="233">
        <v>0</v>
      </c>
      <c r="E112" s="227">
        <v>160</v>
      </c>
      <c r="F112" s="228">
        <v>1000</v>
      </c>
      <c r="G112" s="225">
        <v>0</v>
      </c>
      <c r="H112" s="224">
        <f t="shared" si="4"/>
        <v>0</v>
      </c>
      <c r="I112" s="224">
        <v>0</v>
      </c>
      <c r="J112" s="226">
        <f t="shared" si="5"/>
        <v>1000</v>
      </c>
    </row>
    <row r="113" spans="1:10" ht="13.5" customHeight="1" thickBot="1" x14ac:dyDescent="0.3">
      <c r="A113" s="220">
        <f t="shared" si="3"/>
        <v>109</v>
      </c>
      <c r="B113" s="232"/>
      <c r="C113" s="233"/>
      <c r="D113" s="233"/>
      <c r="E113" s="227"/>
      <c r="F113" s="228"/>
      <c r="G113" s="225"/>
      <c r="H113" s="224" t="str">
        <f t="shared" si="4"/>
        <v/>
      </c>
      <c r="I113" s="224"/>
      <c r="J113" s="226" t="str">
        <f t="shared" si="5"/>
        <v/>
      </c>
    </row>
    <row r="114" spans="1:10" ht="13.5" customHeight="1" thickBot="1" x14ac:dyDescent="0.3">
      <c r="A114" s="220">
        <f t="shared" si="3"/>
        <v>110</v>
      </c>
      <c r="B114" s="232"/>
      <c r="C114" s="233"/>
      <c r="D114" s="233"/>
      <c r="E114" s="227"/>
      <c r="F114" s="228"/>
      <c r="G114" s="225"/>
      <c r="H114" s="224" t="str">
        <f t="shared" si="4"/>
        <v/>
      </c>
      <c r="I114" s="224"/>
      <c r="J114" s="226" t="str">
        <f t="shared" si="5"/>
        <v/>
      </c>
    </row>
    <row r="115" spans="1:10" ht="13.5" customHeight="1" thickBot="1" x14ac:dyDescent="0.3">
      <c r="A115" s="220">
        <f t="shared" si="3"/>
        <v>111</v>
      </c>
      <c r="B115" s="232"/>
      <c r="C115" s="233"/>
      <c r="D115" s="233"/>
      <c r="E115" s="227"/>
      <c r="F115" s="228"/>
      <c r="G115" s="225"/>
      <c r="H115" s="224" t="str">
        <f t="shared" si="4"/>
        <v/>
      </c>
      <c r="I115" s="224"/>
      <c r="J115" s="226" t="str">
        <f t="shared" si="5"/>
        <v/>
      </c>
    </row>
    <row r="116" spans="1:10" ht="13.5" customHeight="1" thickBot="1" x14ac:dyDescent="0.3">
      <c r="A116" s="220">
        <f t="shared" si="3"/>
        <v>112</v>
      </c>
      <c r="B116" s="232"/>
      <c r="C116" s="233"/>
      <c r="D116" s="233"/>
      <c r="E116" s="227"/>
      <c r="F116" s="228"/>
      <c r="G116" s="225"/>
      <c r="H116" s="224" t="str">
        <f t="shared" si="4"/>
        <v/>
      </c>
      <c r="I116" s="224"/>
      <c r="J116" s="226" t="str">
        <f t="shared" si="5"/>
        <v/>
      </c>
    </row>
    <row r="117" spans="1:10" ht="13.5" customHeight="1" thickBot="1" x14ac:dyDescent="0.3">
      <c r="A117" s="220">
        <f t="shared" ref="A117:A154" si="6">A116+1</f>
        <v>113</v>
      </c>
      <c r="B117" s="232"/>
      <c r="C117" s="233"/>
      <c r="D117" s="233"/>
      <c r="E117" s="227"/>
      <c r="F117" s="228"/>
      <c r="G117" s="225"/>
      <c r="H117" s="224" t="str">
        <f t="shared" si="4"/>
        <v/>
      </c>
      <c r="I117" s="224"/>
      <c r="J117" s="226" t="str">
        <f t="shared" si="5"/>
        <v/>
      </c>
    </row>
    <row r="118" spans="1:10" ht="13.5" customHeight="1" thickBot="1" x14ac:dyDescent="0.3">
      <c r="A118" s="220">
        <f t="shared" si="6"/>
        <v>114</v>
      </c>
      <c r="B118" s="232"/>
      <c r="C118" s="233"/>
      <c r="D118" s="233"/>
      <c r="E118" s="227"/>
      <c r="F118" s="228"/>
      <c r="G118" s="225"/>
      <c r="H118" s="224" t="str">
        <f t="shared" si="4"/>
        <v/>
      </c>
      <c r="I118" s="224"/>
      <c r="J118" s="226" t="str">
        <f t="shared" si="5"/>
        <v/>
      </c>
    </row>
    <row r="119" spans="1:10" ht="13.5" customHeight="1" thickBot="1" x14ac:dyDescent="0.3">
      <c r="A119" s="220">
        <f t="shared" si="6"/>
        <v>115</v>
      </c>
      <c r="B119" s="232"/>
      <c r="C119" s="233"/>
      <c r="D119" s="233"/>
      <c r="E119" s="227"/>
      <c r="F119" s="228"/>
      <c r="G119" s="225"/>
      <c r="H119" s="224" t="str">
        <f t="shared" si="4"/>
        <v/>
      </c>
      <c r="I119" s="224"/>
      <c r="J119" s="226" t="str">
        <f t="shared" si="5"/>
        <v/>
      </c>
    </row>
    <row r="120" spans="1:10" ht="13.5" customHeight="1" thickBot="1" x14ac:dyDescent="0.3">
      <c r="A120" s="220">
        <f t="shared" si="6"/>
        <v>116</v>
      </c>
      <c r="B120" s="232"/>
      <c r="C120" s="233"/>
      <c r="D120" s="233"/>
      <c r="E120" s="227"/>
      <c r="F120" s="228"/>
      <c r="G120" s="225"/>
      <c r="H120" s="224" t="str">
        <f t="shared" si="4"/>
        <v/>
      </c>
      <c r="I120" s="224"/>
      <c r="J120" s="226" t="str">
        <f t="shared" si="5"/>
        <v/>
      </c>
    </row>
    <row r="121" spans="1:10" ht="13.5" customHeight="1" thickBot="1" x14ac:dyDescent="0.3">
      <c r="A121" s="220">
        <f t="shared" si="6"/>
        <v>117</v>
      </c>
      <c r="B121" s="232"/>
      <c r="C121" s="233"/>
      <c r="D121" s="233"/>
      <c r="E121" s="227"/>
      <c r="F121" s="228"/>
      <c r="G121" s="225"/>
      <c r="H121" s="224" t="str">
        <f t="shared" si="4"/>
        <v/>
      </c>
      <c r="I121" s="224"/>
      <c r="J121" s="226" t="str">
        <f t="shared" si="5"/>
        <v/>
      </c>
    </row>
    <row r="122" spans="1:10" ht="13.5" customHeight="1" thickBot="1" x14ac:dyDescent="0.3">
      <c r="A122" s="220">
        <f t="shared" si="6"/>
        <v>118</v>
      </c>
      <c r="B122" s="232"/>
      <c r="C122" s="233"/>
      <c r="D122" s="233"/>
      <c r="E122" s="227"/>
      <c r="F122" s="228"/>
      <c r="G122" s="225"/>
      <c r="H122" s="224" t="str">
        <f t="shared" si="4"/>
        <v/>
      </c>
      <c r="I122" s="224"/>
      <c r="J122" s="226" t="str">
        <f t="shared" si="5"/>
        <v/>
      </c>
    </row>
    <row r="123" spans="1:10" ht="13.5" customHeight="1" thickBot="1" x14ac:dyDescent="0.3">
      <c r="A123" s="220">
        <f t="shared" si="6"/>
        <v>119</v>
      </c>
      <c r="B123" s="232"/>
      <c r="C123" s="233"/>
      <c r="D123" s="233"/>
      <c r="E123" s="227"/>
      <c r="F123" s="228"/>
      <c r="G123" s="225"/>
      <c r="H123" s="224" t="str">
        <f t="shared" si="4"/>
        <v/>
      </c>
      <c r="I123" s="224"/>
      <c r="J123" s="226" t="str">
        <f t="shared" si="5"/>
        <v/>
      </c>
    </row>
    <row r="124" spans="1:10" ht="13.5" customHeight="1" thickBot="1" x14ac:dyDescent="0.3">
      <c r="A124" s="220">
        <f t="shared" si="6"/>
        <v>120</v>
      </c>
      <c r="B124" s="232"/>
      <c r="C124" s="233"/>
      <c r="D124" s="233"/>
      <c r="E124" s="227"/>
      <c r="F124" s="228"/>
      <c r="G124" s="225"/>
      <c r="H124" s="224" t="str">
        <f t="shared" si="4"/>
        <v/>
      </c>
      <c r="I124" s="224"/>
      <c r="J124" s="226" t="str">
        <f t="shared" si="5"/>
        <v/>
      </c>
    </row>
    <row r="125" spans="1:10" ht="13.5" customHeight="1" thickBot="1" x14ac:dyDescent="0.3">
      <c r="A125" s="220">
        <f t="shared" si="6"/>
        <v>121</v>
      </c>
      <c r="B125" s="232"/>
      <c r="C125" s="233"/>
      <c r="D125" s="233"/>
      <c r="E125" s="227"/>
      <c r="F125" s="228"/>
      <c r="G125" s="225"/>
      <c r="H125" s="224" t="str">
        <f t="shared" si="4"/>
        <v/>
      </c>
      <c r="I125" s="224"/>
      <c r="J125" s="226" t="str">
        <f t="shared" si="5"/>
        <v/>
      </c>
    </row>
    <row r="126" spans="1:10" ht="13.5" customHeight="1" thickBot="1" x14ac:dyDescent="0.3">
      <c r="A126" s="220">
        <f t="shared" si="6"/>
        <v>122</v>
      </c>
      <c r="B126" s="232"/>
      <c r="C126" s="233"/>
      <c r="D126" s="233"/>
      <c r="E126" s="227"/>
      <c r="F126" s="228"/>
      <c r="G126" s="225"/>
      <c r="H126" s="224" t="str">
        <f t="shared" si="4"/>
        <v/>
      </c>
      <c r="I126" s="224"/>
      <c r="J126" s="226" t="str">
        <f t="shared" si="5"/>
        <v/>
      </c>
    </row>
    <row r="127" spans="1:10" ht="13.5" customHeight="1" thickBot="1" x14ac:dyDescent="0.3">
      <c r="A127" s="220">
        <f t="shared" si="6"/>
        <v>123</v>
      </c>
      <c r="B127" s="232"/>
      <c r="C127" s="233"/>
      <c r="D127" s="233"/>
      <c r="E127" s="227"/>
      <c r="F127" s="228"/>
      <c r="G127" s="225"/>
      <c r="H127" s="224" t="str">
        <f t="shared" si="4"/>
        <v/>
      </c>
      <c r="I127" s="224"/>
      <c r="J127" s="226" t="str">
        <f t="shared" si="5"/>
        <v/>
      </c>
    </row>
    <row r="128" spans="1:10" ht="13.5" customHeight="1" thickBot="1" x14ac:dyDescent="0.3">
      <c r="A128" s="220">
        <f t="shared" si="6"/>
        <v>124</v>
      </c>
      <c r="B128" s="232"/>
      <c r="C128" s="233"/>
      <c r="D128" s="233"/>
      <c r="E128" s="227"/>
      <c r="F128" s="228"/>
      <c r="G128" s="225"/>
      <c r="H128" s="224" t="str">
        <f t="shared" si="4"/>
        <v/>
      </c>
      <c r="I128" s="224"/>
      <c r="J128" s="226" t="str">
        <f t="shared" si="5"/>
        <v/>
      </c>
    </row>
    <row r="129" spans="1:10" ht="13.5" customHeight="1" thickBot="1" x14ac:dyDescent="0.3">
      <c r="A129" s="220">
        <f t="shared" si="6"/>
        <v>125</v>
      </c>
      <c r="B129" s="232"/>
      <c r="C129" s="233"/>
      <c r="D129" s="233"/>
      <c r="E129" s="227"/>
      <c r="F129" s="228"/>
      <c r="G129" s="225"/>
      <c r="H129" s="224" t="str">
        <f t="shared" si="4"/>
        <v/>
      </c>
      <c r="I129" s="224"/>
      <c r="J129" s="226" t="str">
        <f t="shared" si="5"/>
        <v/>
      </c>
    </row>
    <row r="130" spans="1:10" ht="13.5" customHeight="1" thickBot="1" x14ac:dyDescent="0.3">
      <c r="A130" s="220">
        <f t="shared" si="6"/>
        <v>126</v>
      </c>
      <c r="B130" s="232"/>
      <c r="C130" s="233"/>
      <c r="D130" s="233"/>
      <c r="E130" s="227"/>
      <c r="F130" s="228"/>
      <c r="G130" s="225"/>
      <c r="H130" s="224" t="str">
        <f t="shared" si="4"/>
        <v/>
      </c>
      <c r="I130" s="224"/>
      <c r="J130" s="226" t="str">
        <f t="shared" si="5"/>
        <v/>
      </c>
    </row>
    <row r="131" spans="1:10" ht="13.5" customHeight="1" thickBot="1" x14ac:dyDescent="0.3">
      <c r="A131" s="220">
        <f t="shared" si="6"/>
        <v>127</v>
      </c>
      <c r="B131" s="232"/>
      <c r="C131" s="233"/>
      <c r="D131" s="233"/>
      <c r="E131" s="227"/>
      <c r="F131" s="228"/>
      <c r="G131" s="225"/>
      <c r="H131" s="224" t="str">
        <f t="shared" si="4"/>
        <v/>
      </c>
      <c r="I131" s="224"/>
      <c r="J131" s="226" t="str">
        <f t="shared" si="5"/>
        <v/>
      </c>
    </row>
    <row r="132" spans="1:10" ht="13.5" customHeight="1" thickBot="1" x14ac:dyDescent="0.3">
      <c r="A132" s="220">
        <f t="shared" si="6"/>
        <v>128</v>
      </c>
      <c r="B132" s="232"/>
      <c r="C132" s="233"/>
      <c r="D132" s="233"/>
      <c r="E132" s="227"/>
      <c r="F132" s="228"/>
      <c r="G132" s="225"/>
      <c r="H132" s="224" t="str">
        <f t="shared" si="4"/>
        <v/>
      </c>
      <c r="I132" s="224"/>
      <c r="J132" s="226" t="str">
        <f t="shared" si="5"/>
        <v/>
      </c>
    </row>
    <row r="133" spans="1:10" ht="13.5" customHeight="1" thickBot="1" x14ac:dyDescent="0.3">
      <c r="A133" s="220">
        <f t="shared" si="6"/>
        <v>129</v>
      </c>
      <c r="B133" s="232"/>
      <c r="C133" s="233"/>
      <c r="D133" s="233"/>
      <c r="E133" s="227"/>
      <c r="F133" s="228"/>
      <c r="G133" s="225"/>
      <c r="H133" s="224" t="str">
        <f t="shared" si="4"/>
        <v/>
      </c>
      <c r="I133" s="224"/>
      <c r="J133" s="226" t="str">
        <f t="shared" si="5"/>
        <v/>
      </c>
    </row>
    <row r="134" spans="1:10" ht="13.5" customHeight="1" thickBot="1" x14ac:dyDescent="0.3">
      <c r="A134" s="220">
        <f t="shared" si="6"/>
        <v>130</v>
      </c>
      <c r="B134" s="232"/>
      <c r="C134" s="233"/>
      <c r="D134" s="233"/>
      <c r="E134" s="227"/>
      <c r="F134" s="228"/>
      <c r="G134" s="225"/>
      <c r="H134" s="224" t="str">
        <f t="shared" ref="H134:H154" si="7">IF(B134="","",(F134/E134)*G134)</f>
        <v/>
      </c>
      <c r="I134" s="224"/>
      <c r="J134" s="226" t="str">
        <f t="shared" ref="J134:J154" si="8">IF(B134="","",F134-H134-I134)</f>
        <v/>
      </c>
    </row>
    <row r="135" spans="1:10" ht="13.5" customHeight="1" thickBot="1" x14ac:dyDescent="0.3">
      <c r="A135" s="220">
        <f t="shared" si="6"/>
        <v>131</v>
      </c>
      <c r="B135" s="232"/>
      <c r="C135" s="233"/>
      <c r="D135" s="233"/>
      <c r="E135" s="227"/>
      <c r="F135" s="228"/>
      <c r="G135" s="225"/>
      <c r="H135" s="224" t="str">
        <f t="shared" si="7"/>
        <v/>
      </c>
      <c r="I135" s="224"/>
      <c r="J135" s="226" t="str">
        <f t="shared" si="8"/>
        <v/>
      </c>
    </row>
    <row r="136" spans="1:10" ht="13.5" customHeight="1" thickBot="1" x14ac:dyDescent="0.3">
      <c r="A136" s="220">
        <f t="shared" si="6"/>
        <v>132</v>
      </c>
      <c r="B136" s="232"/>
      <c r="C136" s="233"/>
      <c r="D136" s="233"/>
      <c r="E136" s="227"/>
      <c r="F136" s="228"/>
      <c r="G136" s="225"/>
      <c r="H136" s="224" t="str">
        <f t="shared" si="7"/>
        <v/>
      </c>
      <c r="I136" s="224"/>
      <c r="J136" s="226" t="str">
        <f t="shared" si="8"/>
        <v/>
      </c>
    </row>
    <row r="137" spans="1:10" ht="13.5" customHeight="1" thickBot="1" x14ac:dyDescent="0.3">
      <c r="A137" s="220">
        <f t="shared" si="6"/>
        <v>133</v>
      </c>
      <c r="B137" s="232"/>
      <c r="C137" s="233"/>
      <c r="D137" s="233"/>
      <c r="E137" s="227"/>
      <c r="F137" s="228"/>
      <c r="G137" s="225"/>
      <c r="H137" s="224" t="str">
        <f t="shared" si="7"/>
        <v/>
      </c>
      <c r="I137" s="224"/>
      <c r="J137" s="226" t="str">
        <f t="shared" si="8"/>
        <v/>
      </c>
    </row>
    <row r="138" spans="1:10" ht="13.5" customHeight="1" thickBot="1" x14ac:dyDescent="0.3">
      <c r="A138" s="220">
        <f t="shared" si="6"/>
        <v>134</v>
      </c>
      <c r="B138" s="232"/>
      <c r="C138" s="233"/>
      <c r="D138" s="233"/>
      <c r="E138" s="227"/>
      <c r="F138" s="228"/>
      <c r="G138" s="225"/>
      <c r="H138" s="224" t="str">
        <f t="shared" si="7"/>
        <v/>
      </c>
      <c r="I138" s="224"/>
      <c r="J138" s="226" t="str">
        <f t="shared" si="8"/>
        <v/>
      </c>
    </row>
    <row r="139" spans="1:10" ht="13.5" customHeight="1" thickBot="1" x14ac:dyDescent="0.3">
      <c r="A139" s="220">
        <f t="shared" si="6"/>
        <v>135</v>
      </c>
      <c r="B139" s="232"/>
      <c r="C139" s="233"/>
      <c r="D139" s="233"/>
      <c r="E139" s="227"/>
      <c r="F139" s="228"/>
      <c r="G139" s="225"/>
      <c r="H139" s="224" t="str">
        <f t="shared" si="7"/>
        <v/>
      </c>
      <c r="I139" s="224"/>
      <c r="J139" s="226" t="str">
        <f t="shared" si="8"/>
        <v/>
      </c>
    </row>
    <row r="140" spans="1:10" ht="13.5" customHeight="1" thickBot="1" x14ac:dyDescent="0.3">
      <c r="A140" s="220">
        <f t="shared" si="6"/>
        <v>136</v>
      </c>
      <c r="B140" s="232"/>
      <c r="C140" s="233"/>
      <c r="D140" s="233"/>
      <c r="E140" s="227"/>
      <c r="F140" s="228"/>
      <c r="G140" s="225"/>
      <c r="H140" s="224" t="str">
        <f t="shared" si="7"/>
        <v/>
      </c>
      <c r="I140" s="224"/>
      <c r="J140" s="226" t="str">
        <f t="shared" si="8"/>
        <v/>
      </c>
    </row>
    <row r="141" spans="1:10" ht="13.5" customHeight="1" thickBot="1" x14ac:dyDescent="0.3">
      <c r="A141" s="220">
        <f t="shared" si="6"/>
        <v>137</v>
      </c>
      <c r="B141" s="232"/>
      <c r="C141" s="233"/>
      <c r="D141" s="233"/>
      <c r="E141" s="227"/>
      <c r="F141" s="228"/>
      <c r="G141" s="225"/>
      <c r="H141" s="224" t="str">
        <f t="shared" si="7"/>
        <v/>
      </c>
      <c r="I141" s="224"/>
      <c r="J141" s="226" t="str">
        <f t="shared" si="8"/>
        <v/>
      </c>
    </row>
    <row r="142" spans="1:10" ht="13.5" customHeight="1" thickBot="1" x14ac:dyDescent="0.3">
      <c r="A142" s="220">
        <f t="shared" si="6"/>
        <v>138</v>
      </c>
      <c r="B142" s="232"/>
      <c r="C142" s="233"/>
      <c r="D142" s="233"/>
      <c r="E142" s="227"/>
      <c r="F142" s="228"/>
      <c r="G142" s="225"/>
      <c r="H142" s="224" t="str">
        <f t="shared" si="7"/>
        <v/>
      </c>
      <c r="I142" s="224"/>
      <c r="J142" s="226" t="str">
        <f t="shared" si="8"/>
        <v/>
      </c>
    </row>
    <row r="143" spans="1:10" ht="13.5" customHeight="1" thickBot="1" x14ac:dyDescent="0.3">
      <c r="A143" s="220">
        <f t="shared" si="6"/>
        <v>139</v>
      </c>
      <c r="B143" s="232"/>
      <c r="C143" s="233"/>
      <c r="D143" s="233"/>
      <c r="E143" s="227"/>
      <c r="F143" s="228"/>
      <c r="G143" s="225"/>
      <c r="H143" s="224" t="str">
        <f t="shared" si="7"/>
        <v/>
      </c>
      <c r="I143" s="224"/>
      <c r="J143" s="226" t="str">
        <f t="shared" si="8"/>
        <v/>
      </c>
    </row>
    <row r="144" spans="1:10" ht="13.5" customHeight="1" thickBot="1" x14ac:dyDescent="0.3">
      <c r="A144" s="220">
        <f t="shared" si="6"/>
        <v>140</v>
      </c>
      <c r="B144" s="232"/>
      <c r="C144" s="233"/>
      <c r="D144" s="233"/>
      <c r="E144" s="227"/>
      <c r="F144" s="228"/>
      <c r="G144" s="225"/>
      <c r="H144" s="224" t="str">
        <f t="shared" si="7"/>
        <v/>
      </c>
      <c r="I144" s="224"/>
      <c r="J144" s="226" t="str">
        <f t="shared" si="8"/>
        <v/>
      </c>
    </row>
    <row r="145" spans="1:10" ht="13.5" customHeight="1" thickBot="1" x14ac:dyDescent="0.3">
      <c r="A145" s="220">
        <f t="shared" si="6"/>
        <v>141</v>
      </c>
      <c r="B145" s="232"/>
      <c r="C145" s="233"/>
      <c r="D145" s="233"/>
      <c r="E145" s="227"/>
      <c r="F145" s="228"/>
      <c r="G145" s="225"/>
      <c r="H145" s="224" t="str">
        <f t="shared" si="7"/>
        <v/>
      </c>
      <c r="I145" s="224"/>
      <c r="J145" s="226" t="str">
        <f t="shared" si="8"/>
        <v/>
      </c>
    </row>
    <row r="146" spans="1:10" ht="13.5" customHeight="1" thickBot="1" x14ac:dyDescent="0.3">
      <c r="A146" s="220">
        <f t="shared" si="6"/>
        <v>142</v>
      </c>
      <c r="B146" s="232"/>
      <c r="C146" s="233"/>
      <c r="D146" s="233"/>
      <c r="E146" s="227"/>
      <c r="F146" s="228"/>
      <c r="G146" s="225"/>
      <c r="H146" s="224" t="str">
        <f t="shared" si="7"/>
        <v/>
      </c>
      <c r="I146" s="224"/>
      <c r="J146" s="226" t="str">
        <f t="shared" si="8"/>
        <v/>
      </c>
    </row>
    <row r="147" spans="1:10" ht="13.5" customHeight="1" thickBot="1" x14ac:dyDescent="0.3">
      <c r="A147" s="220">
        <f t="shared" si="6"/>
        <v>143</v>
      </c>
      <c r="B147" s="232"/>
      <c r="C147" s="233"/>
      <c r="D147" s="233"/>
      <c r="E147" s="227"/>
      <c r="F147" s="228"/>
      <c r="G147" s="225"/>
      <c r="H147" s="224" t="str">
        <f t="shared" si="7"/>
        <v/>
      </c>
      <c r="I147" s="224"/>
      <c r="J147" s="226" t="str">
        <f t="shared" si="8"/>
        <v/>
      </c>
    </row>
    <row r="148" spans="1:10" ht="13.5" customHeight="1" thickBot="1" x14ac:dyDescent="0.3">
      <c r="A148" s="220">
        <f t="shared" si="6"/>
        <v>144</v>
      </c>
      <c r="B148" s="232"/>
      <c r="C148" s="233"/>
      <c r="D148" s="233"/>
      <c r="E148" s="227"/>
      <c r="F148" s="228"/>
      <c r="G148" s="225"/>
      <c r="H148" s="224" t="str">
        <f t="shared" si="7"/>
        <v/>
      </c>
      <c r="I148" s="224"/>
      <c r="J148" s="226" t="str">
        <f t="shared" si="8"/>
        <v/>
      </c>
    </row>
    <row r="149" spans="1:10" ht="13.5" customHeight="1" thickBot="1" x14ac:dyDescent="0.3">
      <c r="A149" s="220">
        <f t="shared" si="6"/>
        <v>145</v>
      </c>
      <c r="B149" s="232"/>
      <c r="C149" s="233"/>
      <c r="D149" s="233"/>
      <c r="E149" s="227"/>
      <c r="F149" s="228"/>
      <c r="G149" s="225"/>
      <c r="H149" s="224" t="str">
        <f t="shared" si="7"/>
        <v/>
      </c>
      <c r="I149" s="224"/>
      <c r="J149" s="226" t="str">
        <f t="shared" si="8"/>
        <v/>
      </c>
    </row>
    <row r="150" spans="1:10" ht="13.5" customHeight="1" thickBot="1" x14ac:dyDescent="0.3">
      <c r="A150" s="220">
        <f t="shared" si="6"/>
        <v>146</v>
      </c>
      <c r="B150" s="232"/>
      <c r="C150" s="233"/>
      <c r="D150" s="233"/>
      <c r="E150" s="227"/>
      <c r="F150" s="228"/>
      <c r="G150" s="225"/>
      <c r="H150" s="224" t="str">
        <f t="shared" si="7"/>
        <v/>
      </c>
      <c r="I150" s="224"/>
      <c r="J150" s="226" t="str">
        <f t="shared" si="8"/>
        <v/>
      </c>
    </row>
    <row r="151" spans="1:10" ht="13.5" customHeight="1" thickBot="1" x14ac:dyDescent="0.3">
      <c r="A151" s="220">
        <f t="shared" si="6"/>
        <v>147</v>
      </c>
      <c r="B151" s="232"/>
      <c r="C151" s="233"/>
      <c r="D151" s="233"/>
      <c r="E151" s="227"/>
      <c r="F151" s="228"/>
      <c r="G151" s="225"/>
      <c r="H151" s="224" t="str">
        <f t="shared" si="7"/>
        <v/>
      </c>
      <c r="I151" s="224"/>
      <c r="J151" s="226" t="str">
        <f t="shared" si="8"/>
        <v/>
      </c>
    </row>
    <row r="152" spans="1:10" ht="13.5" customHeight="1" thickBot="1" x14ac:dyDescent="0.3">
      <c r="A152" s="220">
        <f t="shared" si="6"/>
        <v>148</v>
      </c>
      <c r="B152" s="232"/>
      <c r="C152" s="233"/>
      <c r="D152" s="233"/>
      <c r="E152" s="227"/>
      <c r="F152" s="228"/>
      <c r="G152" s="225"/>
      <c r="H152" s="224" t="str">
        <f t="shared" si="7"/>
        <v/>
      </c>
      <c r="I152" s="224"/>
      <c r="J152" s="226" t="str">
        <f t="shared" si="8"/>
        <v/>
      </c>
    </row>
    <row r="153" spans="1:10" ht="13.5" customHeight="1" thickBot="1" x14ac:dyDescent="0.3">
      <c r="A153" s="220">
        <f t="shared" si="6"/>
        <v>149</v>
      </c>
      <c r="B153" s="232"/>
      <c r="C153" s="233"/>
      <c r="D153" s="233"/>
      <c r="E153" s="227"/>
      <c r="F153" s="228"/>
      <c r="G153" s="225"/>
      <c r="H153" s="224" t="str">
        <f t="shared" si="7"/>
        <v/>
      </c>
      <c r="I153" s="224"/>
      <c r="J153" s="226" t="str">
        <f t="shared" si="8"/>
        <v/>
      </c>
    </row>
    <row r="154" spans="1:10" ht="13.5" customHeight="1" thickBot="1" x14ac:dyDescent="0.3">
      <c r="A154" s="220">
        <f t="shared" si="6"/>
        <v>150</v>
      </c>
      <c r="B154" s="232"/>
      <c r="C154" s="233"/>
      <c r="D154" s="233"/>
      <c r="E154" s="227"/>
      <c r="F154" s="228"/>
      <c r="G154" s="225"/>
      <c r="H154" s="224" t="str">
        <f t="shared" si="7"/>
        <v/>
      </c>
      <c r="I154" s="224"/>
      <c r="J154" s="226" t="str">
        <f t="shared" si="8"/>
        <v/>
      </c>
    </row>
    <row r="155" spans="1:10" ht="13.5" customHeight="1" x14ac:dyDescent="0.25">
      <c r="A155" s="234"/>
      <c r="B155" s="234"/>
      <c r="C155" s="234"/>
      <c r="D155" s="235"/>
      <c r="E155" s="228">
        <f>SUM(E5:E154)</f>
        <v>17280</v>
      </c>
      <c r="F155" s="228">
        <f>SUM(F5:F154)</f>
        <v>183280</v>
      </c>
      <c r="G155" s="228">
        <f>SUM(G5:G154)</f>
        <v>0</v>
      </c>
      <c r="H155" s="228">
        <f>SUM(H5:H154)</f>
        <v>0</v>
      </c>
      <c r="I155" s="228">
        <f>SUM(I5:I154)</f>
        <v>0</v>
      </c>
      <c r="J155" s="228">
        <f>SUM(J5:J154)</f>
        <v>183280</v>
      </c>
    </row>
  </sheetData>
  <pageMargins left="0.59055118110236227" right="0.78740157480314965" top="0.11811023622047245" bottom="0.11811023622047245" header="0" footer="0"/>
  <pageSetup paperSize="5" orientation="landscape" horizont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tabColor theme="4"/>
  </sheetPr>
  <dimension ref="A1:E465"/>
  <sheetViews>
    <sheetView zoomScale="120" zoomScaleNormal="12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baseColWidth="10" defaultRowHeight="14.4" x14ac:dyDescent="0.3"/>
  <cols>
    <col min="1" max="1" width="5.33203125" customWidth="1"/>
    <col min="2" max="2" width="54.5546875" customWidth="1"/>
    <col min="4" max="4" width="10.88671875" customWidth="1"/>
    <col min="5" max="5" width="17.5546875" customWidth="1"/>
  </cols>
  <sheetData>
    <row r="1" spans="1:5" ht="17.399999999999999" x14ac:dyDescent="0.3">
      <c r="A1" s="179" t="s">
        <v>1250</v>
      </c>
      <c r="B1" s="179"/>
      <c r="C1" s="179"/>
      <c r="D1" s="179"/>
      <c r="E1" s="179"/>
    </row>
    <row r="2" spans="1:5" ht="22.2" x14ac:dyDescent="0.35">
      <c r="A2" s="179" t="s">
        <v>1953</v>
      </c>
      <c r="B2" s="179"/>
      <c r="C2" s="179"/>
      <c r="D2" s="179"/>
      <c r="E2" s="179"/>
    </row>
    <row r="3" spans="1:5" ht="16.2" thickBot="1" x14ac:dyDescent="0.35">
      <c r="A3" s="65" t="s">
        <v>1251</v>
      </c>
      <c r="B3" s="66" t="s">
        <v>1252</v>
      </c>
      <c r="C3" s="67" t="s">
        <v>1253</v>
      </c>
      <c r="D3" s="67" t="s">
        <v>1254</v>
      </c>
      <c r="E3" s="67" t="s">
        <v>1255</v>
      </c>
    </row>
    <row r="4" spans="1:5" ht="24.9" customHeight="1" x14ac:dyDescent="0.3">
      <c r="A4" s="25">
        <v>1</v>
      </c>
      <c r="B4" s="53" t="s">
        <v>578</v>
      </c>
      <c r="C4" s="55"/>
      <c r="D4" s="55"/>
      <c r="E4" s="55"/>
    </row>
    <row r="5" spans="1:5" ht="24.9" customHeight="1" x14ac:dyDescent="0.3">
      <c r="A5" s="25">
        <v>2</v>
      </c>
      <c r="B5" s="28" t="s">
        <v>126</v>
      </c>
      <c r="C5" s="10"/>
      <c r="D5" s="10"/>
      <c r="E5" s="10"/>
    </row>
    <row r="6" spans="1:5" ht="24.9" customHeight="1" x14ac:dyDescent="0.3">
      <c r="A6" s="25">
        <v>3</v>
      </c>
      <c r="B6" s="28" t="s">
        <v>79</v>
      </c>
      <c r="C6" s="10"/>
      <c r="D6" s="10"/>
      <c r="E6" s="10"/>
    </row>
    <row r="7" spans="1:5" ht="24.9" customHeight="1" x14ac:dyDescent="0.3">
      <c r="A7" s="25">
        <v>4</v>
      </c>
      <c r="B7" s="28" t="s">
        <v>381</v>
      </c>
      <c r="C7" s="10"/>
      <c r="D7" s="10"/>
      <c r="E7" s="10"/>
    </row>
    <row r="8" spans="1:5" ht="24.9" customHeight="1" x14ac:dyDescent="0.3">
      <c r="A8" s="25">
        <v>5</v>
      </c>
      <c r="B8" s="28" t="s">
        <v>12</v>
      </c>
      <c r="C8" s="10"/>
      <c r="D8" s="10"/>
      <c r="E8" s="10"/>
    </row>
    <row r="9" spans="1:5" ht="24.9" customHeight="1" x14ac:dyDescent="0.3">
      <c r="A9" s="25">
        <v>6</v>
      </c>
      <c r="B9" s="36" t="s">
        <v>834</v>
      </c>
      <c r="C9" s="10"/>
      <c r="D9" s="10"/>
      <c r="E9" s="10"/>
    </row>
    <row r="10" spans="1:5" ht="24.9" customHeight="1" x14ac:dyDescent="0.3">
      <c r="A10" s="25">
        <v>7</v>
      </c>
      <c r="B10" s="36" t="s">
        <v>1091</v>
      </c>
      <c r="C10" s="10"/>
      <c r="D10" s="10"/>
      <c r="E10" s="10"/>
    </row>
    <row r="11" spans="1:5" ht="24.9" customHeight="1" x14ac:dyDescent="0.3">
      <c r="A11" s="25">
        <v>8</v>
      </c>
      <c r="B11" s="28" t="s">
        <v>29</v>
      </c>
      <c r="C11" s="10"/>
      <c r="D11" s="10"/>
      <c r="E11" s="10"/>
    </row>
    <row r="12" spans="1:5" ht="24.9" customHeight="1" x14ac:dyDescent="0.3">
      <c r="A12" s="25">
        <v>9</v>
      </c>
      <c r="B12" s="28" t="s">
        <v>728</v>
      </c>
      <c r="C12" s="10"/>
      <c r="D12" s="10"/>
      <c r="E12" s="10"/>
    </row>
    <row r="13" spans="1:5" ht="24.9" customHeight="1" x14ac:dyDescent="0.3">
      <c r="A13" s="25">
        <v>10</v>
      </c>
      <c r="B13" s="28" t="s">
        <v>857</v>
      </c>
      <c r="C13" s="10"/>
      <c r="D13" s="10"/>
      <c r="E13" s="10"/>
    </row>
    <row r="14" spans="1:5" ht="24.9" customHeight="1" x14ac:dyDescent="0.3">
      <c r="A14" s="25">
        <v>11</v>
      </c>
      <c r="B14" s="28" t="s">
        <v>193</v>
      </c>
      <c r="C14" s="10"/>
      <c r="D14" s="10"/>
      <c r="E14" s="10"/>
    </row>
    <row r="15" spans="1:5" ht="24.9" customHeight="1" x14ac:dyDescent="0.3">
      <c r="A15" s="25">
        <v>12</v>
      </c>
      <c r="B15" s="28" t="s">
        <v>531</v>
      </c>
      <c r="C15" s="10"/>
      <c r="D15" s="10"/>
      <c r="E15" s="10"/>
    </row>
    <row r="16" spans="1:5" ht="24.9" customHeight="1" x14ac:dyDescent="0.3">
      <c r="A16" s="25">
        <v>13</v>
      </c>
      <c r="B16" s="36" t="s">
        <v>314</v>
      </c>
      <c r="C16" s="10"/>
      <c r="D16" s="10"/>
      <c r="E16" s="10"/>
    </row>
    <row r="17" spans="1:5" ht="24.9" customHeight="1" x14ac:dyDescent="0.3">
      <c r="A17" s="25">
        <v>14</v>
      </c>
      <c r="B17" s="28" t="s">
        <v>106</v>
      </c>
      <c r="C17" s="10"/>
      <c r="D17" s="10"/>
      <c r="E17" s="10"/>
    </row>
    <row r="18" spans="1:5" ht="24.9" customHeight="1" x14ac:dyDescent="0.3">
      <c r="A18" s="25">
        <v>15</v>
      </c>
      <c r="B18" s="28" t="s">
        <v>93</v>
      </c>
      <c r="C18" s="10"/>
      <c r="D18" s="10"/>
      <c r="E18" s="10"/>
    </row>
    <row r="19" spans="1:5" ht="24.9" customHeight="1" x14ac:dyDescent="0.3">
      <c r="A19" s="25">
        <v>16</v>
      </c>
      <c r="B19" s="28" t="s">
        <v>725</v>
      </c>
      <c r="C19" s="10"/>
      <c r="D19" s="10"/>
      <c r="E19" s="10"/>
    </row>
    <row r="20" spans="1:5" ht="24.9" customHeight="1" x14ac:dyDescent="0.3">
      <c r="A20" s="25">
        <v>17</v>
      </c>
      <c r="B20" s="28" t="s">
        <v>630</v>
      </c>
      <c r="C20" s="10"/>
      <c r="D20" s="10"/>
      <c r="E20" s="10"/>
    </row>
    <row r="21" spans="1:5" ht="24.9" customHeight="1" x14ac:dyDescent="0.3">
      <c r="A21" s="25">
        <v>18</v>
      </c>
      <c r="B21" s="28" t="s">
        <v>675</v>
      </c>
      <c r="C21" s="10"/>
      <c r="D21" s="10"/>
      <c r="E21" s="10"/>
    </row>
    <row r="22" spans="1:5" ht="24.9" customHeight="1" x14ac:dyDescent="0.3">
      <c r="A22" s="25">
        <v>19</v>
      </c>
      <c r="B22" s="28" t="s">
        <v>86</v>
      </c>
      <c r="C22" s="10"/>
      <c r="D22" s="10"/>
      <c r="E22" s="10"/>
    </row>
    <row r="23" spans="1:5" ht="24.9" customHeight="1" x14ac:dyDescent="0.3">
      <c r="A23" s="25">
        <v>20</v>
      </c>
      <c r="B23" s="28" t="s">
        <v>76</v>
      </c>
      <c r="C23" s="10"/>
      <c r="D23" s="10"/>
      <c r="E23" s="10"/>
    </row>
    <row r="24" spans="1:5" ht="24.9" customHeight="1" x14ac:dyDescent="0.3">
      <c r="A24" s="25">
        <v>21</v>
      </c>
      <c r="B24" s="28" t="s">
        <v>94</v>
      </c>
      <c r="C24" s="10"/>
      <c r="D24" s="10"/>
      <c r="E24" s="10"/>
    </row>
    <row r="25" spans="1:5" ht="24.9" customHeight="1" x14ac:dyDescent="0.3">
      <c r="A25" s="25">
        <v>22</v>
      </c>
      <c r="B25" s="28" t="s">
        <v>117</v>
      </c>
      <c r="C25" s="10"/>
      <c r="D25" s="10"/>
      <c r="E25" s="10"/>
    </row>
    <row r="26" spans="1:5" ht="24.9" customHeight="1" x14ac:dyDescent="0.3">
      <c r="A26" s="25">
        <v>23</v>
      </c>
      <c r="B26" s="28" t="s">
        <v>651</v>
      </c>
      <c r="C26" s="10"/>
      <c r="D26" s="10"/>
      <c r="E26" s="10"/>
    </row>
    <row r="27" spans="1:5" ht="24.9" customHeight="1" x14ac:dyDescent="0.3">
      <c r="A27" s="25">
        <v>24</v>
      </c>
      <c r="B27" s="28" t="s">
        <v>109</v>
      </c>
      <c r="C27" s="10"/>
      <c r="D27" s="10"/>
      <c r="E27" s="10"/>
    </row>
    <row r="28" spans="1:5" ht="24.9" customHeight="1" x14ac:dyDescent="0.3">
      <c r="A28" s="25">
        <v>25</v>
      </c>
      <c r="B28" s="28" t="s">
        <v>648</v>
      </c>
      <c r="C28" s="10"/>
      <c r="D28" s="10"/>
      <c r="E28" s="10"/>
    </row>
    <row r="29" spans="1:5" ht="24.9" customHeight="1" x14ac:dyDescent="0.3">
      <c r="A29" s="25">
        <v>26</v>
      </c>
      <c r="B29" s="28" t="s">
        <v>59</v>
      </c>
      <c r="C29" s="10"/>
      <c r="D29" s="10"/>
      <c r="E29" s="10"/>
    </row>
    <row r="30" spans="1:5" ht="24.9" customHeight="1" x14ac:dyDescent="0.3">
      <c r="A30" s="25">
        <v>27</v>
      </c>
      <c r="B30" s="28" t="s">
        <v>80</v>
      </c>
      <c r="C30" s="10"/>
      <c r="D30" s="10"/>
      <c r="E30" s="10"/>
    </row>
    <row r="31" spans="1:5" ht="24.9" customHeight="1" x14ac:dyDescent="0.3">
      <c r="A31" s="25">
        <v>28</v>
      </c>
      <c r="B31" s="28" t="s">
        <v>13</v>
      </c>
      <c r="C31" s="10"/>
      <c r="D31" s="10"/>
      <c r="E31" s="10"/>
    </row>
    <row r="32" spans="1:5" ht="24.9" customHeight="1" x14ac:dyDescent="0.3">
      <c r="A32" s="25">
        <v>29</v>
      </c>
      <c r="B32" s="36" t="s">
        <v>1123</v>
      </c>
      <c r="C32" s="10"/>
      <c r="D32" s="10"/>
      <c r="E32" s="10"/>
    </row>
    <row r="33" spans="1:5" ht="24.9" customHeight="1" x14ac:dyDescent="0.3">
      <c r="A33" s="25">
        <v>30</v>
      </c>
      <c r="B33" s="28" t="s">
        <v>414</v>
      </c>
      <c r="C33" s="10"/>
      <c r="D33" s="10"/>
      <c r="E33" s="10"/>
    </row>
    <row r="34" spans="1:5" ht="24.9" customHeight="1" x14ac:dyDescent="0.3">
      <c r="A34" s="25">
        <v>31</v>
      </c>
      <c r="B34" s="28" t="s">
        <v>14</v>
      </c>
      <c r="C34" s="10"/>
      <c r="D34" s="10"/>
      <c r="E34" s="10"/>
    </row>
    <row r="35" spans="1:5" ht="24.9" customHeight="1" x14ac:dyDescent="0.3">
      <c r="A35" s="25">
        <v>32</v>
      </c>
      <c r="B35" s="28" t="s">
        <v>404</v>
      </c>
      <c r="C35" s="10"/>
      <c r="D35" s="10"/>
      <c r="E35" s="10"/>
    </row>
    <row r="36" spans="1:5" ht="24.9" customHeight="1" x14ac:dyDescent="0.3">
      <c r="A36" s="25">
        <v>33</v>
      </c>
      <c r="B36" s="28" t="s">
        <v>118</v>
      </c>
      <c r="C36" s="10"/>
      <c r="D36" s="10"/>
      <c r="E36" s="10"/>
    </row>
    <row r="37" spans="1:5" ht="24.9" customHeight="1" x14ac:dyDescent="0.3">
      <c r="A37" s="25">
        <v>34</v>
      </c>
      <c r="B37" s="28" t="s">
        <v>30</v>
      </c>
      <c r="C37" s="10"/>
      <c r="D37" s="10"/>
      <c r="E37" s="10"/>
    </row>
    <row r="38" spans="1:5" ht="24.9" customHeight="1" x14ac:dyDescent="0.3">
      <c r="A38" s="25">
        <v>35</v>
      </c>
      <c r="B38" s="36" t="s">
        <v>239</v>
      </c>
      <c r="C38" s="10"/>
      <c r="D38" s="10"/>
      <c r="E38" s="10"/>
    </row>
    <row r="39" spans="1:5" ht="24.9" customHeight="1" x14ac:dyDescent="0.3">
      <c r="A39" s="25">
        <v>36</v>
      </c>
      <c r="B39" s="28" t="s">
        <v>860</v>
      </c>
      <c r="C39" s="10"/>
      <c r="D39" s="10"/>
      <c r="E39" s="10"/>
    </row>
    <row r="40" spans="1:5" ht="24.9" customHeight="1" x14ac:dyDescent="0.3">
      <c r="A40" s="25">
        <v>37</v>
      </c>
      <c r="B40" s="28" t="s">
        <v>377</v>
      </c>
      <c r="C40" s="10"/>
      <c r="D40" s="10"/>
      <c r="E40" s="10"/>
    </row>
    <row r="41" spans="1:5" ht="24.9" customHeight="1" x14ac:dyDescent="0.3">
      <c r="A41" s="25">
        <v>38</v>
      </c>
      <c r="B41" s="28" t="s">
        <v>60</v>
      </c>
      <c r="C41" s="10"/>
      <c r="D41" s="10"/>
      <c r="E41" s="10"/>
    </row>
    <row r="42" spans="1:5" ht="24.9" customHeight="1" x14ac:dyDescent="0.3">
      <c r="A42" s="25">
        <v>39</v>
      </c>
      <c r="B42" s="28" t="s">
        <v>263</v>
      </c>
      <c r="C42" s="10"/>
      <c r="D42" s="10"/>
      <c r="E42" s="10"/>
    </row>
    <row r="43" spans="1:5" ht="24.9" customHeight="1" x14ac:dyDescent="0.3">
      <c r="A43" s="25">
        <v>40</v>
      </c>
      <c r="B43" s="28" t="s">
        <v>110</v>
      </c>
      <c r="C43" s="10"/>
      <c r="D43" s="10"/>
      <c r="E43" s="10"/>
    </row>
    <row r="44" spans="1:5" ht="24.9" customHeight="1" x14ac:dyDescent="0.3">
      <c r="A44" s="25">
        <v>41</v>
      </c>
      <c r="B44" s="36" t="s">
        <v>885</v>
      </c>
      <c r="C44" s="10"/>
      <c r="D44" s="10"/>
      <c r="E44" s="10"/>
    </row>
    <row r="45" spans="1:5" ht="24.9" customHeight="1" x14ac:dyDescent="0.3">
      <c r="A45" s="25">
        <v>42</v>
      </c>
      <c r="B45" s="36" t="s">
        <v>1024</v>
      </c>
      <c r="C45" s="10"/>
      <c r="D45" s="10"/>
      <c r="E45" s="10"/>
    </row>
    <row r="46" spans="1:5" ht="24.9" customHeight="1" x14ac:dyDescent="0.3">
      <c r="A46" s="25">
        <v>43</v>
      </c>
      <c r="B46" s="28" t="s">
        <v>814</v>
      </c>
      <c r="C46" s="10"/>
      <c r="D46" s="10"/>
      <c r="E46" s="10"/>
    </row>
    <row r="47" spans="1:5" ht="24.9" customHeight="1" x14ac:dyDescent="0.3">
      <c r="A47" s="25">
        <v>44</v>
      </c>
      <c r="B47" s="28" t="s">
        <v>15</v>
      </c>
      <c r="C47" s="10"/>
      <c r="D47" s="10"/>
      <c r="E47" s="10"/>
    </row>
    <row r="48" spans="1:5" ht="24.9" customHeight="1" x14ac:dyDescent="0.3">
      <c r="A48" s="25">
        <v>45</v>
      </c>
      <c r="B48" s="36" t="s">
        <v>1192</v>
      </c>
      <c r="C48" s="10"/>
      <c r="D48" s="10"/>
      <c r="E48" s="10"/>
    </row>
    <row r="49" spans="1:5" ht="24.9" customHeight="1" x14ac:dyDescent="0.3">
      <c r="A49" s="25">
        <v>46</v>
      </c>
      <c r="B49" s="36" t="s">
        <v>869</v>
      </c>
      <c r="C49" s="10"/>
      <c r="D49" s="10"/>
      <c r="E49" s="10"/>
    </row>
    <row r="50" spans="1:5" ht="24.9" customHeight="1" x14ac:dyDescent="0.3">
      <c r="A50" s="25">
        <v>47</v>
      </c>
      <c r="B50" s="28" t="s">
        <v>44</v>
      </c>
      <c r="C50" s="10"/>
      <c r="D50" s="10"/>
      <c r="E50" s="10"/>
    </row>
    <row r="51" spans="1:5" ht="24.9" customHeight="1" x14ac:dyDescent="0.3">
      <c r="A51" s="25">
        <v>48</v>
      </c>
      <c r="B51" s="36" t="s">
        <v>612</v>
      </c>
      <c r="C51" s="10"/>
      <c r="D51" s="10"/>
      <c r="E51" s="10"/>
    </row>
    <row r="52" spans="1:5" ht="24.9" customHeight="1" x14ac:dyDescent="0.3">
      <c r="A52" s="25">
        <v>49</v>
      </c>
      <c r="B52" s="28" t="s">
        <v>45</v>
      </c>
      <c r="C52" s="10"/>
      <c r="D52" s="10"/>
      <c r="E52" s="10"/>
    </row>
    <row r="53" spans="1:5" ht="24.9" customHeight="1" x14ac:dyDescent="0.3">
      <c r="A53" s="25">
        <v>50</v>
      </c>
      <c r="B53" s="36" t="s">
        <v>929</v>
      </c>
      <c r="C53" s="10"/>
      <c r="D53" s="10"/>
      <c r="E53" s="10"/>
    </row>
    <row r="54" spans="1:5" ht="24.9" customHeight="1" x14ac:dyDescent="0.3">
      <c r="A54" s="25">
        <v>51</v>
      </c>
      <c r="B54" s="36" t="s">
        <v>1057</v>
      </c>
      <c r="C54" s="10"/>
      <c r="D54" s="10"/>
      <c r="E54" s="10"/>
    </row>
    <row r="55" spans="1:5" ht="24.9" customHeight="1" x14ac:dyDescent="0.3">
      <c r="A55" s="25">
        <v>52</v>
      </c>
      <c r="B55" s="28" t="s">
        <v>459</v>
      </c>
      <c r="C55" s="10"/>
      <c r="D55" s="10"/>
      <c r="E55" s="10"/>
    </row>
    <row r="56" spans="1:5" ht="24.9" customHeight="1" x14ac:dyDescent="0.3">
      <c r="A56" s="25">
        <v>53</v>
      </c>
      <c r="B56" s="36" t="s">
        <v>507</v>
      </c>
      <c r="C56" s="10"/>
      <c r="D56" s="10"/>
      <c r="E56" s="10"/>
    </row>
    <row r="57" spans="1:5" ht="24.9" customHeight="1" x14ac:dyDescent="0.3">
      <c r="A57" s="25">
        <v>54</v>
      </c>
      <c r="B57" s="28" t="s">
        <v>428</v>
      </c>
      <c r="C57" s="10"/>
      <c r="D57" s="10"/>
      <c r="E57" s="10"/>
    </row>
    <row r="58" spans="1:5" ht="24.9" customHeight="1" x14ac:dyDescent="0.3">
      <c r="A58" s="25">
        <v>55</v>
      </c>
      <c r="B58" s="36" t="s">
        <v>893</v>
      </c>
      <c r="C58" s="10"/>
      <c r="D58" s="10"/>
      <c r="E58" s="10"/>
    </row>
    <row r="59" spans="1:5" ht="24.9" customHeight="1" x14ac:dyDescent="0.3">
      <c r="A59" s="25">
        <v>56</v>
      </c>
      <c r="B59" s="36" t="s">
        <v>1058</v>
      </c>
      <c r="C59" s="10"/>
      <c r="D59" s="10"/>
      <c r="E59" s="10"/>
    </row>
    <row r="60" spans="1:5" ht="24.9" customHeight="1" x14ac:dyDescent="0.3">
      <c r="A60" s="25">
        <v>57</v>
      </c>
      <c r="B60" s="36" t="s">
        <v>771</v>
      </c>
      <c r="C60" s="10"/>
      <c r="D60" s="10"/>
      <c r="E60" s="10"/>
    </row>
    <row r="61" spans="1:5" ht="24.9" customHeight="1" x14ac:dyDescent="0.3">
      <c r="A61" s="25">
        <v>58</v>
      </c>
      <c r="B61" s="28" t="s">
        <v>61</v>
      </c>
      <c r="C61" s="10"/>
      <c r="D61" s="10"/>
      <c r="E61" s="10"/>
    </row>
    <row r="62" spans="1:5" ht="24.9" customHeight="1" x14ac:dyDescent="0.3">
      <c r="A62" s="25">
        <v>59</v>
      </c>
      <c r="B62" s="28" t="s">
        <v>46</v>
      </c>
      <c r="C62" s="10"/>
      <c r="D62" s="10"/>
      <c r="E62" s="10"/>
    </row>
    <row r="63" spans="1:5" ht="24.9" customHeight="1" x14ac:dyDescent="0.3">
      <c r="A63" s="25">
        <v>60</v>
      </c>
      <c r="B63" s="36" t="s">
        <v>998</v>
      </c>
      <c r="C63" s="10"/>
      <c r="D63" s="10"/>
      <c r="E63" s="10"/>
    </row>
    <row r="64" spans="1:5" ht="24.9" customHeight="1" x14ac:dyDescent="0.3">
      <c r="A64" s="25">
        <v>61</v>
      </c>
      <c r="B64" s="36" t="s">
        <v>808</v>
      </c>
      <c r="C64" s="10"/>
      <c r="D64" s="10"/>
      <c r="E64" s="10"/>
    </row>
    <row r="65" spans="1:5" ht="24.9" customHeight="1" x14ac:dyDescent="0.3">
      <c r="A65" s="25">
        <v>62</v>
      </c>
      <c r="B65" s="36" t="s">
        <v>1148</v>
      </c>
      <c r="C65" s="10"/>
      <c r="D65" s="10"/>
      <c r="E65" s="10"/>
    </row>
    <row r="66" spans="1:5" ht="24.9" customHeight="1" x14ac:dyDescent="0.3">
      <c r="A66" s="25">
        <v>63</v>
      </c>
      <c r="B66" s="36" t="s">
        <v>783</v>
      </c>
      <c r="C66" s="10"/>
      <c r="D66" s="10"/>
      <c r="E66" s="10"/>
    </row>
    <row r="67" spans="1:5" ht="24.9" customHeight="1" x14ac:dyDescent="0.3">
      <c r="A67" s="25">
        <v>64</v>
      </c>
      <c r="B67" s="28" t="s">
        <v>510</v>
      </c>
      <c r="C67" s="10"/>
      <c r="D67" s="10"/>
      <c r="E67" s="10"/>
    </row>
    <row r="68" spans="1:5" ht="24.9" customHeight="1" x14ac:dyDescent="0.3">
      <c r="A68" s="25">
        <v>65</v>
      </c>
      <c r="B68" s="28" t="s">
        <v>0</v>
      </c>
      <c r="C68" s="10"/>
      <c r="D68" s="10"/>
      <c r="E68" s="10"/>
    </row>
    <row r="69" spans="1:5" ht="24.9" customHeight="1" x14ac:dyDescent="0.3">
      <c r="A69" s="25">
        <v>66</v>
      </c>
      <c r="B69" s="36" t="s">
        <v>1008</v>
      </c>
      <c r="C69" s="10"/>
      <c r="D69" s="10"/>
      <c r="E69" s="10"/>
    </row>
    <row r="70" spans="1:5" ht="24.9" customHeight="1" x14ac:dyDescent="0.3">
      <c r="A70" s="25">
        <v>67</v>
      </c>
      <c r="B70" s="36" t="s">
        <v>1198</v>
      </c>
      <c r="C70" s="10"/>
      <c r="D70" s="10"/>
      <c r="E70" s="10"/>
    </row>
    <row r="71" spans="1:5" ht="24.9" customHeight="1" x14ac:dyDescent="0.3">
      <c r="A71" s="25">
        <v>68</v>
      </c>
      <c r="B71" s="28" t="s">
        <v>111</v>
      </c>
      <c r="C71" s="10"/>
      <c r="D71" s="10"/>
      <c r="E71" s="10"/>
    </row>
    <row r="72" spans="1:5" ht="24.9" customHeight="1" x14ac:dyDescent="0.3">
      <c r="A72" s="25">
        <v>69</v>
      </c>
      <c r="B72" s="28" t="s">
        <v>757</v>
      </c>
      <c r="C72" s="10"/>
      <c r="D72" s="10"/>
      <c r="E72" s="10"/>
    </row>
    <row r="73" spans="1:5" ht="24.9" customHeight="1" x14ac:dyDescent="0.3">
      <c r="A73" s="25">
        <v>70</v>
      </c>
      <c r="B73" s="28" t="s">
        <v>98</v>
      </c>
      <c r="C73" s="10"/>
      <c r="D73" s="10"/>
      <c r="E73" s="10"/>
    </row>
    <row r="74" spans="1:5" ht="24.9" customHeight="1" x14ac:dyDescent="0.3">
      <c r="A74" s="25">
        <v>71</v>
      </c>
      <c r="B74" s="36" t="s">
        <v>1214</v>
      </c>
      <c r="C74" s="10"/>
      <c r="D74" s="10"/>
      <c r="E74" s="10"/>
    </row>
    <row r="75" spans="1:5" ht="24.9" customHeight="1" x14ac:dyDescent="0.3">
      <c r="A75" s="25">
        <v>72</v>
      </c>
      <c r="B75" s="28" t="s">
        <v>498</v>
      </c>
      <c r="C75" s="10"/>
      <c r="D75" s="10"/>
      <c r="E75" s="10"/>
    </row>
    <row r="76" spans="1:5" ht="24.9" customHeight="1" x14ac:dyDescent="0.3">
      <c r="A76" s="25">
        <v>73</v>
      </c>
      <c r="B76" s="28" t="s">
        <v>704</v>
      </c>
      <c r="C76" s="10"/>
      <c r="D76" s="10"/>
      <c r="E76" s="10"/>
    </row>
    <row r="77" spans="1:5" ht="24.9" customHeight="1" x14ac:dyDescent="0.3">
      <c r="A77" s="25">
        <v>74</v>
      </c>
      <c r="B77" s="28" t="s">
        <v>872</v>
      </c>
      <c r="C77" s="10"/>
      <c r="D77" s="10"/>
      <c r="E77" s="10"/>
    </row>
    <row r="78" spans="1:5" ht="24.9" customHeight="1" x14ac:dyDescent="0.3">
      <c r="A78" s="25">
        <v>75</v>
      </c>
      <c r="B78" s="28" t="s">
        <v>891</v>
      </c>
      <c r="C78" s="10"/>
      <c r="D78" s="10"/>
      <c r="E78" s="10"/>
    </row>
    <row r="79" spans="1:5" ht="24.9" customHeight="1" x14ac:dyDescent="0.3">
      <c r="A79" s="25">
        <v>76</v>
      </c>
      <c r="B79" s="28" t="s">
        <v>695</v>
      </c>
      <c r="C79" s="10"/>
      <c r="D79" s="10"/>
      <c r="E79" s="10"/>
    </row>
    <row r="80" spans="1:5" ht="24.9" customHeight="1" x14ac:dyDescent="0.3">
      <c r="A80" s="25">
        <v>77</v>
      </c>
      <c r="B80" s="28" t="s">
        <v>1</v>
      </c>
      <c r="C80" s="10"/>
      <c r="D80" s="10"/>
      <c r="E80" s="10"/>
    </row>
    <row r="81" spans="1:5" ht="24.9" customHeight="1" x14ac:dyDescent="0.3">
      <c r="A81" s="25">
        <v>78</v>
      </c>
      <c r="B81" s="28" t="s">
        <v>863</v>
      </c>
      <c r="C81" s="10"/>
      <c r="D81" s="10"/>
      <c r="E81" s="10"/>
    </row>
    <row r="82" spans="1:5" ht="24.9" customHeight="1" x14ac:dyDescent="0.3">
      <c r="A82" s="25">
        <v>79</v>
      </c>
      <c r="B82" s="28" t="s">
        <v>31</v>
      </c>
      <c r="C82" s="10"/>
      <c r="D82" s="10"/>
      <c r="E82" s="10"/>
    </row>
    <row r="83" spans="1:5" ht="24.9" customHeight="1" x14ac:dyDescent="0.3">
      <c r="A83" s="25">
        <v>80</v>
      </c>
      <c r="B83" s="36" t="s">
        <v>1156</v>
      </c>
      <c r="C83" s="10"/>
      <c r="D83" s="10"/>
      <c r="E83" s="10"/>
    </row>
    <row r="84" spans="1:5" ht="24.9" customHeight="1" x14ac:dyDescent="0.3">
      <c r="A84" s="25">
        <v>81</v>
      </c>
      <c r="B84" s="28" t="s">
        <v>16</v>
      </c>
      <c r="C84" s="10"/>
      <c r="D84" s="10"/>
      <c r="E84" s="10"/>
    </row>
    <row r="85" spans="1:5" ht="24.9" customHeight="1" x14ac:dyDescent="0.3">
      <c r="A85" s="25">
        <v>82</v>
      </c>
      <c r="B85" s="28" t="s">
        <v>405</v>
      </c>
      <c r="C85" s="10"/>
      <c r="D85" s="10"/>
      <c r="E85" s="10"/>
    </row>
    <row r="86" spans="1:5" ht="24.9" customHeight="1" x14ac:dyDescent="0.3">
      <c r="A86" s="25">
        <v>83</v>
      </c>
      <c r="B86" s="36" t="s">
        <v>281</v>
      </c>
      <c r="C86" s="10"/>
      <c r="D86" s="10"/>
      <c r="E86" s="10"/>
    </row>
    <row r="87" spans="1:5" ht="24.9" customHeight="1" x14ac:dyDescent="0.3">
      <c r="A87" s="25">
        <v>84</v>
      </c>
      <c r="B87" s="28" t="s">
        <v>386</v>
      </c>
      <c r="C87" s="10"/>
      <c r="D87" s="10"/>
      <c r="E87" s="10"/>
    </row>
    <row r="88" spans="1:5" ht="24.9" customHeight="1" x14ac:dyDescent="0.3">
      <c r="A88" s="25">
        <v>85</v>
      </c>
      <c r="B88" s="28" t="s">
        <v>17</v>
      </c>
      <c r="C88" s="10"/>
      <c r="D88" s="10"/>
      <c r="E88" s="10"/>
    </row>
    <row r="89" spans="1:5" ht="24.9" customHeight="1" x14ac:dyDescent="0.3">
      <c r="A89" s="25">
        <v>86</v>
      </c>
      <c r="B89" s="28" t="s">
        <v>72</v>
      </c>
      <c r="C89" s="10"/>
      <c r="D89" s="10"/>
      <c r="E89" s="10"/>
    </row>
    <row r="90" spans="1:5" ht="24.9" customHeight="1" x14ac:dyDescent="0.3">
      <c r="A90" s="25">
        <v>87</v>
      </c>
      <c r="B90" s="28" t="s">
        <v>362</v>
      </c>
      <c r="C90" s="10"/>
      <c r="D90" s="10"/>
      <c r="E90" s="10"/>
    </row>
    <row r="91" spans="1:5" ht="24.9" customHeight="1" x14ac:dyDescent="0.3">
      <c r="A91" s="25">
        <v>88</v>
      </c>
      <c r="B91" s="28" t="s">
        <v>54</v>
      </c>
      <c r="C91" s="10"/>
      <c r="D91" s="10"/>
      <c r="E91" s="10"/>
    </row>
    <row r="92" spans="1:5" ht="24.9" customHeight="1" x14ac:dyDescent="0.3">
      <c r="A92" s="25">
        <v>89</v>
      </c>
      <c r="B92" s="36" t="s">
        <v>875</v>
      </c>
      <c r="C92" s="10"/>
      <c r="D92" s="10"/>
      <c r="E92" s="10"/>
    </row>
    <row r="93" spans="1:5" ht="24.9" customHeight="1" x14ac:dyDescent="0.3">
      <c r="A93" s="25">
        <v>90</v>
      </c>
      <c r="B93" s="28" t="s">
        <v>581</v>
      </c>
      <c r="C93" s="10"/>
      <c r="D93" s="10"/>
      <c r="E93" s="10"/>
    </row>
    <row r="94" spans="1:5" ht="24.9" customHeight="1" x14ac:dyDescent="0.3">
      <c r="A94" s="25">
        <v>91</v>
      </c>
      <c r="B94" s="36" t="s">
        <v>1039</v>
      </c>
      <c r="C94" s="10"/>
      <c r="D94" s="10"/>
      <c r="E94" s="10"/>
    </row>
    <row r="95" spans="1:5" ht="24.9" customHeight="1" x14ac:dyDescent="0.3">
      <c r="A95" s="25">
        <v>92</v>
      </c>
      <c r="B95" s="28" t="s">
        <v>433</v>
      </c>
      <c r="C95" s="10"/>
      <c r="D95" s="10"/>
      <c r="E95" s="10"/>
    </row>
    <row r="96" spans="1:5" ht="24.9" customHeight="1" x14ac:dyDescent="0.3">
      <c r="A96" s="25">
        <v>93</v>
      </c>
      <c r="B96" s="28" t="s">
        <v>606</v>
      </c>
      <c r="C96" s="10"/>
      <c r="D96" s="10"/>
      <c r="E96" s="10"/>
    </row>
    <row r="97" spans="1:5" ht="24.9" customHeight="1" x14ac:dyDescent="0.3">
      <c r="A97" s="25">
        <v>94</v>
      </c>
      <c r="B97" s="28" t="s">
        <v>1140</v>
      </c>
      <c r="C97" s="10"/>
      <c r="D97" s="10"/>
      <c r="E97" s="10"/>
    </row>
    <row r="98" spans="1:5" ht="24.9" customHeight="1" x14ac:dyDescent="0.3">
      <c r="A98" s="25">
        <v>95</v>
      </c>
      <c r="B98" s="36" t="s">
        <v>1126</v>
      </c>
      <c r="C98" s="10"/>
      <c r="D98" s="10"/>
      <c r="E98" s="10"/>
    </row>
    <row r="99" spans="1:5" ht="24.9" customHeight="1" x14ac:dyDescent="0.3">
      <c r="A99" s="25">
        <v>96</v>
      </c>
      <c r="B99" s="36" t="s">
        <v>986</v>
      </c>
      <c r="C99" s="10"/>
      <c r="D99" s="10"/>
      <c r="E99" s="10"/>
    </row>
    <row r="100" spans="1:5" ht="24.9" customHeight="1" x14ac:dyDescent="0.3">
      <c r="A100" s="25">
        <v>97</v>
      </c>
      <c r="B100" s="28" t="s">
        <v>369</v>
      </c>
      <c r="C100" s="10"/>
      <c r="D100" s="10"/>
      <c r="E100" s="10"/>
    </row>
    <row r="101" spans="1:5" ht="24.9" customHeight="1" x14ac:dyDescent="0.3">
      <c r="A101" s="25">
        <v>98</v>
      </c>
      <c r="B101" s="28" t="s">
        <v>107</v>
      </c>
      <c r="C101" s="10"/>
      <c r="D101" s="10"/>
      <c r="E101" s="10"/>
    </row>
    <row r="102" spans="1:5" ht="24.9" customHeight="1" x14ac:dyDescent="0.3">
      <c r="A102" s="25">
        <v>99</v>
      </c>
      <c r="B102" s="28" t="s">
        <v>32</v>
      </c>
      <c r="C102" s="10"/>
      <c r="D102" s="10"/>
      <c r="E102" s="10"/>
    </row>
    <row r="103" spans="1:5" ht="24.9" customHeight="1" x14ac:dyDescent="0.3">
      <c r="A103" s="25">
        <v>100</v>
      </c>
      <c r="B103" s="28" t="s">
        <v>245</v>
      </c>
      <c r="C103" s="10"/>
      <c r="D103" s="10"/>
      <c r="E103" s="10"/>
    </row>
    <row r="104" spans="1:5" ht="24.9" customHeight="1" x14ac:dyDescent="0.3">
      <c r="A104" s="25">
        <v>101</v>
      </c>
      <c r="B104" s="28" t="s">
        <v>47</v>
      </c>
      <c r="C104" s="10"/>
      <c r="D104" s="10"/>
      <c r="E104" s="10"/>
    </row>
    <row r="105" spans="1:5" ht="24.9" customHeight="1" x14ac:dyDescent="0.3">
      <c r="A105" s="25">
        <v>102</v>
      </c>
      <c r="B105" s="28" t="s">
        <v>708</v>
      </c>
      <c r="C105" s="10"/>
      <c r="D105" s="10"/>
      <c r="E105" s="10"/>
    </row>
    <row r="106" spans="1:5" ht="24.9" customHeight="1" x14ac:dyDescent="0.3">
      <c r="A106" s="25">
        <v>103</v>
      </c>
      <c r="B106" s="28" t="s">
        <v>868</v>
      </c>
      <c r="C106" s="10"/>
      <c r="D106" s="10"/>
      <c r="E106" s="10"/>
    </row>
    <row r="107" spans="1:5" ht="24.9" customHeight="1" x14ac:dyDescent="0.3">
      <c r="A107" s="25">
        <v>104</v>
      </c>
      <c r="B107" s="28" t="s">
        <v>968</v>
      </c>
      <c r="C107" s="10"/>
      <c r="D107" s="10"/>
      <c r="E107" s="10"/>
    </row>
    <row r="108" spans="1:5" ht="24.9" customHeight="1" x14ac:dyDescent="0.3">
      <c r="A108" s="25">
        <v>105</v>
      </c>
      <c r="B108" s="28" t="s">
        <v>821</v>
      </c>
      <c r="C108" s="10"/>
      <c r="D108" s="10"/>
      <c r="E108" s="10"/>
    </row>
    <row r="109" spans="1:5" ht="24.9" customHeight="1" x14ac:dyDescent="0.3">
      <c r="A109" s="25">
        <v>106</v>
      </c>
      <c r="B109" s="36" t="s">
        <v>302</v>
      </c>
      <c r="C109" s="10"/>
      <c r="D109" s="10"/>
      <c r="E109" s="10"/>
    </row>
    <row r="110" spans="1:5" ht="24.9" customHeight="1" x14ac:dyDescent="0.3">
      <c r="A110" s="25">
        <v>107</v>
      </c>
      <c r="B110" s="28" t="s">
        <v>2</v>
      </c>
      <c r="C110" s="10"/>
      <c r="D110" s="10"/>
      <c r="E110" s="10"/>
    </row>
    <row r="111" spans="1:5" ht="24.9" customHeight="1" x14ac:dyDescent="0.3">
      <c r="A111" s="25">
        <v>108</v>
      </c>
      <c r="B111" s="28" t="s">
        <v>3</v>
      </c>
      <c r="C111" s="10"/>
      <c r="D111" s="10"/>
      <c r="E111" s="10"/>
    </row>
    <row r="112" spans="1:5" ht="24.9" customHeight="1" x14ac:dyDescent="0.3">
      <c r="A112" s="25">
        <v>109</v>
      </c>
      <c r="B112" s="28" t="s">
        <v>33</v>
      </c>
      <c r="C112" s="10"/>
      <c r="D112" s="10"/>
      <c r="E112" s="10"/>
    </row>
    <row r="113" spans="1:5" ht="24.9" customHeight="1" x14ac:dyDescent="0.3">
      <c r="A113" s="25">
        <v>110</v>
      </c>
      <c r="B113" s="28" t="s">
        <v>77</v>
      </c>
      <c r="C113" s="10"/>
      <c r="D113" s="10"/>
      <c r="E113" s="10"/>
    </row>
    <row r="114" spans="1:5" ht="24.9" customHeight="1" x14ac:dyDescent="0.3">
      <c r="A114" s="25">
        <v>111</v>
      </c>
      <c r="B114" s="36" t="s">
        <v>767</v>
      </c>
      <c r="C114" s="10"/>
      <c r="D114" s="10"/>
      <c r="E114" s="10"/>
    </row>
    <row r="115" spans="1:5" ht="24.9" customHeight="1" x14ac:dyDescent="0.3">
      <c r="A115" s="25">
        <v>112</v>
      </c>
      <c r="B115" s="36" t="s">
        <v>825</v>
      </c>
      <c r="C115" s="10"/>
      <c r="D115" s="10"/>
      <c r="E115" s="10"/>
    </row>
    <row r="116" spans="1:5" ht="24.9" customHeight="1" x14ac:dyDescent="0.3">
      <c r="A116" s="25">
        <v>113</v>
      </c>
      <c r="B116" s="36" t="s">
        <v>1187</v>
      </c>
      <c r="C116" s="10"/>
      <c r="D116" s="10"/>
      <c r="E116" s="10"/>
    </row>
    <row r="117" spans="1:5" ht="24.9" customHeight="1" x14ac:dyDescent="0.3">
      <c r="A117" s="25">
        <v>114</v>
      </c>
      <c r="B117" s="36" t="s">
        <v>318</v>
      </c>
      <c r="C117" s="10"/>
      <c r="D117" s="10"/>
      <c r="E117" s="10"/>
    </row>
    <row r="118" spans="1:5" ht="24.9" customHeight="1" x14ac:dyDescent="0.3">
      <c r="A118" s="25">
        <v>115</v>
      </c>
      <c r="B118" s="36" t="s">
        <v>310</v>
      </c>
      <c r="C118" s="10"/>
      <c r="D118" s="10"/>
      <c r="E118" s="10"/>
    </row>
    <row r="119" spans="1:5" ht="24.9" customHeight="1" x14ac:dyDescent="0.3">
      <c r="A119" s="25">
        <v>116</v>
      </c>
      <c r="B119" s="28" t="s">
        <v>87</v>
      </c>
      <c r="C119" s="10"/>
      <c r="D119" s="10"/>
      <c r="E119" s="10"/>
    </row>
    <row r="120" spans="1:5" ht="24.9" customHeight="1" x14ac:dyDescent="0.3">
      <c r="A120" s="25">
        <v>117</v>
      </c>
      <c r="B120" s="28" t="s">
        <v>34</v>
      </c>
      <c r="C120" s="10"/>
      <c r="D120" s="10"/>
      <c r="E120" s="10"/>
    </row>
    <row r="121" spans="1:5" ht="24.9" customHeight="1" x14ac:dyDescent="0.3">
      <c r="A121" s="25">
        <v>118</v>
      </c>
      <c r="B121" s="36" t="s">
        <v>899</v>
      </c>
      <c r="C121" s="10"/>
      <c r="D121" s="10"/>
      <c r="E121" s="10"/>
    </row>
    <row r="122" spans="1:5" ht="24.9" customHeight="1" x14ac:dyDescent="0.3">
      <c r="A122" s="25">
        <v>119</v>
      </c>
      <c r="B122" s="28" t="s">
        <v>933</v>
      </c>
      <c r="C122" s="10"/>
      <c r="D122" s="10"/>
      <c r="E122" s="10"/>
    </row>
    <row r="123" spans="1:5" ht="24.9" customHeight="1" x14ac:dyDescent="0.3">
      <c r="A123" s="25">
        <v>120</v>
      </c>
      <c r="B123" s="28" t="s">
        <v>419</v>
      </c>
      <c r="C123" s="10"/>
      <c r="D123" s="10"/>
      <c r="E123" s="10"/>
    </row>
    <row r="124" spans="1:5" ht="24.9" customHeight="1" x14ac:dyDescent="0.3">
      <c r="A124" s="25">
        <v>121</v>
      </c>
      <c r="B124" s="36" t="s">
        <v>258</v>
      </c>
      <c r="C124" s="10"/>
      <c r="D124" s="10"/>
      <c r="E124" s="10"/>
    </row>
    <row r="125" spans="1:5" ht="24.9" customHeight="1" x14ac:dyDescent="0.3">
      <c r="A125" s="25">
        <v>122</v>
      </c>
      <c r="B125" s="36" t="s">
        <v>349</v>
      </c>
      <c r="C125" s="10"/>
      <c r="D125" s="10"/>
      <c r="E125" s="10"/>
    </row>
    <row r="126" spans="1:5" ht="24.9" customHeight="1" x14ac:dyDescent="0.3">
      <c r="A126" s="25">
        <v>123</v>
      </c>
      <c r="B126" s="28" t="s">
        <v>927</v>
      </c>
      <c r="C126" s="10"/>
      <c r="D126" s="10"/>
      <c r="E126" s="10"/>
    </row>
    <row r="127" spans="1:5" ht="24.9" customHeight="1" x14ac:dyDescent="0.3">
      <c r="A127" s="25">
        <v>124</v>
      </c>
      <c r="B127" s="28" t="s">
        <v>18</v>
      </c>
      <c r="C127" s="10"/>
      <c r="D127" s="10"/>
      <c r="E127" s="10"/>
    </row>
    <row r="128" spans="1:5" ht="24.9" customHeight="1" x14ac:dyDescent="0.3">
      <c r="A128" s="25">
        <v>125</v>
      </c>
      <c r="B128" s="28" t="s">
        <v>35</v>
      </c>
      <c r="C128" s="10"/>
      <c r="D128" s="10"/>
      <c r="E128" s="10"/>
    </row>
    <row r="129" spans="1:5" ht="24.9" customHeight="1" x14ac:dyDescent="0.3">
      <c r="A129" s="25">
        <v>126</v>
      </c>
      <c r="B129" s="28" t="s">
        <v>1014</v>
      </c>
      <c r="C129" s="10"/>
      <c r="D129" s="10"/>
      <c r="E129" s="10"/>
    </row>
    <row r="130" spans="1:5" ht="24.9" customHeight="1" x14ac:dyDescent="0.3">
      <c r="A130" s="25">
        <v>127</v>
      </c>
      <c r="B130" s="36" t="s">
        <v>1076</v>
      </c>
      <c r="C130" s="10"/>
      <c r="D130" s="10"/>
      <c r="E130" s="10"/>
    </row>
    <row r="131" spans="1:5" ht="24.9" customHeight="1" x14ac:dyDescent="0.3">
      <c r="A131" s="25">
        <v>128</v>
      </c>
      <c r="B131" s="36" t="s">
        <v>209</v>
      </c>
      <c r="C131" s="10"/>
      <c r="D131" s="10"/>
      <c r="E131" s="10"/>
    </row>
    <row r="132" spans="1:5" ht="24.9" customHeight="1" x14ac:dyDescent="0.3">
      <c r="A132" s="25">
        <v>129</v>
      </c>
      <c r="B132" s="28" t="s">
        <v>62</v>
      </c>
      <c r="C132" s="10"/>
      <c r="D132" s="10"/>
      <c r="E132" s="10"/>
    </row>
    <row r="133" spans="1:5" ht="24.9" customHeight="1" x14ac:dyDescent="0.3">
      <c r="A133" s="25">
        <v>130</v>
      </c>
      <c r="B133" s="36" t="s">
        <v>947</v>
      </c>
      <c r="C133" s="10"/>
      <c r="D133" s="10"/>
      <c r="E133" s="10"/>
    </row>
    <row r="134" spans="1:5" ht="24.9" customHeight="1" x14ac:dyDescent="0.3">
      <c r="A134" s="25">
        <v>131</v>
      </c>
      <c r="B134" s="36" t="s">
        <v>1073</v>
      </c>
      <c r="C134" s="10"/>
      <c r="D134" s="10"/>
      <c r="E134" s="10"/>
    </row>
    <row r="135" spans="1:5" ht="24.9" customHeight="1" x14ac:dyDescent="0.3">
      <c r="A135" s="25">
        <v>132</v>
      </c>
      <c r="B135" s="28" t="s">
        <v>73</v>
      </c>
      <c r="C135" s="10"/>
      <c r="D135" s="10"/>
      <c r="E135" s="10"/>
    </row>
    <row r="136" spans="1:5" ht="24.9" customHeight="1" x14ac:dyDescent="0.3">
      <c r="A136" s="25">
        <v>133</v>
      </c>
      <c r="B136" s="28" t="s">
        <v>48</v>
      </c>
      <c r="C136" s="10"/>
      <c r="D136" s="10"/>
      <c r="E136" s="10"/>
    </row>
    <row r="137" spans="1:5" ht="24.9" customHeight="1" x14ac:dyDescent="0.3">
      <c r="A137" s="25">
        <v>134</v>
      </c>
      <c r="B137" s="28" t="s">
        <v>396</v>
      </c>
      <c r="C137" s="10"/>
      <c r="D137" s="10"/>
      <c r="E137" s="10"/>
    </row>
    <row r="138" spans="1:5" ht="24.9" customHeight="1" x14ac:dyDescent="0.3">
      <c r="A138" s="25">
        <v>135</v>
      </c>
      <c r="B138" s="36" t="s">
        <v>1067</v>
      </c>
      <c r="C138" s="10"/>
      <c r="D138" s="10"/>
      <c r="E138" s="10"/>
    </row>
    <row r="139" spans="1:5" ht="24.9" customHeight="1" x14ac:dyDescent="0.3">
      <c r="A139" s="25">
        <v>136</v>
      </c>
      <c r="B139" s="28" t="s">
        <v>81</v>
      </c>
      <c r="C139" s="10"/>
      <c r="D139" s="10"/>
      <c r="E139" s="10"/>
    </row>
    <row r="140" spans="1:5" ht="24.9" customHeight="1" x14ac:dyDescent="0.3">
      <c r="A140" s="25">
        <v>137</v>
      </c>
      <c r="B140" s="28" t="s">
        <v>389</v>
      </c>
      <c r="C140" s="10"/>
      <c r="D140" s="10"/>
      <c r="E140" s="10"/>
    </row>
    <row r="141" spans="1:5" ht="24.9" customHeight="1" x14ac:dyDescent="0.3">
      <c r="A141" s="25">
        <v>138</v>
      </c>
      <c r="B141" s="36" t="s">
        <v>1160</v>
      </c>
      <c r="C141" s="10"/>
      <c r="D141" s="10"/>
      <c r="E141" s="10"/>
    </row>
    <row r="142" spans="1:5" ht="24.9" customHeight="1" x14ac:dyDescent="0.3">
      <c r="A142" s="25">
        <v>139</v>
      </c>
      <c r="B142" s="28" t="s">
        <v>49</v>
      </c>
      <c r="C142" s="10"/>
      <c r="D142" s="10"/>
      <c r="E142" s="10"/>
    </row>
    <row r="143" spans="1:5" ht="24.9" customHeight="1" x14ac:dyDescent="0.3">
      <c r="A143" s="25">
        <v>140</v>
      </c>
      <c r="B143" s="28" t="s">
        <v>213</v>
      </c>
      <c r="C143" s="10"/>
      <c r="D143" s="10"/>
      <c r="E143" s="10"/>
    </row>
    <row r="144" spans="1:5" ht="24.9" customHeight="1" x14ac:dyDescent="0.3">
      <c r="A144" s="25">
        <v>141</v>
      </c>
      <c r="B144" s="28" t="s">
        <v>95</v>
      </c>
      <c r="C144" s="10"/>
      <c r="D144" s="10"/>
      <c r="E144" s="10"/>
    </row>
    <row r="145" spans="1:5" ht="24.9" customHeight="1" x14ac:dyDescent="0.3">
      <c r="A145" s="25">
        <v>142</v>
      </c>
      <c r="B145" s="28" t="s">
        <v>1107</v>
      </c>
      <c r="C145" s="10"/>
      <c r="D145" s="10"/>
      <c r="E145" s="10"/>
    </row>
    <row r="146" spans="1:5" ht="24.9" customHeight="1" x14ac:dyDescent="0.3">
      <c r="A146" s="25">
        <v>143</v>
      </c>
      <c r="B146" s="28" t="s">
        <v>88</v>
      </c>
      <c r="C146" s="10"/>
      <c r="D146" s="10"/>
      <c r="E146" s="10"/>
    </row>
    <row r="147" spans="1:5" ht="24.9" customHeight="1" x14ac:dyDescent="0.3">
      <c r="A147" s="25">
        <v>144</v>
      </c>
      <c r="B147" s="28" t="s">
        <v>500</v>
      </c>
      <c r="C147" s="10"/>
      <c r="D147" s="10"/>
      <c r="E147" s="10"/>
    </row>
    <row r="148" spans="1:5" ht="24.9" customHeight="1" x14ac:dyDescent="0.3">
      <c r="A148" s="25">
        <v>145</v>
      </c>
      <c r="B148" s="28" t="s">
        <v>82</v>
      </c>
      <c r="C148" s="10"/>
      <c r="D148" s="10"/>
      <c r="E148" s="10"/>
    </row>
    <row r="149" spans="1:5" ht="24.9" customHeight="1" x14ac:dyDescent="0.3">
      <c r="A149" s="25">
        <v>146</v>
      </c>
      <c r="B149" s="28" t="s">
        <v>513</v>
      </c>
      <c r="C149" s="10"/>
      <c r="D149" s="10"/>
      <c r="E149" s="10"/>
    </row>
    <row r="150" spans="1:5" ht="24.9" customHeight="1" x14ac:dyDescent="0.3">
      <c r="A150" s="25">
        <v>147</v>
      </c>
      <c r="B150" s="36" t="s">
        <v>950</v>
      </c>
      <c r="C150" s="10"/>
      <c r="D150" s="10"/>
      <c r="E150" s="10"/>
    </row>
    <row r="151" spans="1:5" ht="24.9" customHeight="1" x14ac:dyDescent="0.3">
      <c r="A151" s="25">
        <v>148</v>
      </c>
      <c r="B151" s="28" t="s">
        <v>99</v>
      </c>
      <c r="C151" s="10"/>
      <c r="D151" s="10"/>
      <c r="E151" s="10"/>
    </row>
    <row r="152" spans="1:5" ht="24.9" customHeight="1" x14ac:dyDescent="0.3">
      <c r="A152" s="25">
        <v>149</v>
      </c>
      <c r="B152" s="28" t="s">
        <v>538</v>
      </c>
      <c r="C152" s="10"/>
      <c r="D152" s="10"/>
      <c r="E152" s="10"/>
    </row>
    <row r="153" spans="1:5" ht="24.9" customHeight="1" x14ac:dyDescent="0.3">
      <c r="A153" s="25">
        <v>150</v>
      </c>
      <c r="B153" s="28" t="s">
        <v>83</v>
      </c>
      <c r="C153" s="10"/>
      <c r="D153" s="10"/>
      <c r="E153" s="10"/>
    </row>
    <row r="154" spans="1:5" ht="24.9" customHeight="1" x14ac:dyDescent="0.3">
      <c r="A154" s="25">
        <v>151</v>
      </c>
      <c r="B154" s="28" t="s">
        <v>19</v>
      </c>
      <c r="C154" s="10"/>
      <c r="D154" s="10"/>
      <c r="E154" s="10"/>
    </row>
    <row r="155" spans="1:5" ht="24.9" customHeight="1" x14ac:dyDescent="0.3">
      <c r="A155" s="25">
        <v>152</v>
      </c>
      <c r="B155" s="36" t="s">
        <v>744</v>
      </c>
      <c r="C155" s="10"/>
      <c r="D155" s="10"/>
      <c r="E155" s="10"/>
    </row>
    <row r="156" spans="1:5" ht="24.9" customHeight="1" x14ac:dyDescent="0.3">
      <c r="A156" s="25">
        <v>153</v>
      </c>
      <c r="B156" s="28" t="s">
        <v>574</v>
      </c>
      <c r="C156" s="10"/>
      <c r="D156" s="10"/>
      <c r="E156" s="10"/>
    </row>
    <row r="157" spans="1:5" ht="24.9" customHeight="1" x14ac:dyDescent="0.3">
      <c r="A157" s="25">
        <v>154</v>
      </c>
      <c r="B157" s="28" t="s">
        <v>68</v>
      </c>
      <c r="C157" s="10"/>
      <c r="D157" s="10"/>
      <c r="E157" s="10"/>
    </row>
    <row r="158" spans="1:5" ht="24.9" customHeight="1" x14ac:dyDescent="0.3">
      <c r="A158" s="25">
        <v>155</v>
      </c>
      <c r="B158" s="36" t="s">
        <v>345</v>
      </c>
      <c r="C158" s="10"/>
      <c r="D158" s="10"/>
      <c r="E158" s="10"/>
    </row>
    <row r="159" spans="1:5" ht="24.9" customHeight="1" x14ac:dyDescent="0.3">
      <c r="A159" s="25">
        <v>156</v>
      </c>
      <c r="B159" s="28" t="s">
        <v>74</v>
      </c>
      <c r="C159" s="10"/>
      <c r="D159" s="10"/>
      <c r="E159" s="10"/>
    </row>
    <row r="160" spans="1:5" ht="24.9" customHeight="1" x14ac:dyDescent="0.3">
      <c r="A160" s="25">
        <v>157</v>
      </c>
      <c r="B160" s="28" t="s">
        <v>119</v>
      </c>
      <c r="C160" s="10"/>
      <c r="D160" s="10"/>
      <c r="E160" s="10"/>
    </row>
    <row r="161" spans="1:5" ht="24.9" customHeight="1" x14ac:dyDescent="0.3">
      <c r="A161" s="25">
        <v>158</v>
      </c>
      <c r="B161" s="28" t="s">
        <v>879</v>
      </c>
      <c r="C161" s="10"/>
      <c r="D161" s="10"/>
      <c r="E161" s="10"/>
    </row>
    <row r="162" spans="1:5" ht="24.9" customHeight="1" x14ac:dyDescent="0.3">
      <c r="A162" s="25">
        <v>159</v>
      </c>
      <c r="B162" s="36" t="s">
        <v>1083</v>
      </c>
      <c r="C162" s="10"/>
      <c r="D162" s="10"/>
      <c r="E162" s="10"/>
    </row>
    <row r="163" spans="1:5" ht="24.9" customHeight="1" x14ac:dyDescent="0.3">
      <c r="A163" s="25">
        <v>160</v>
      </c>
      <c r="B163" s="36" t="s">
        <v>1175</v>
      </c>
      <c r="C163" s="10"/>
      <c r="D163" s="10"/>
      <c r="E163" s="10"/>
    </row>
    <row r="164" spans="1:5" ht="24.9" customHeight="1" x14ac:dyDescent="0.3">
      <c r="A164" s="25">
        <v>161</v>
      </c>
      <c r="B164" s="36" t="s">
        <v>1141</v>
      </c>
      <c r="C164" s="10"/>
      <c r="D164" s="10"/>
      <c r="E164" s="10"/>
    </row>
    <row r="165" spans="1:5" ht="24.9" customHeight="1" x14ac:dyDescent="0.3">
      <c r="A165" s="25">
        <v>162</v>
      </c>
      <c r="B165" s="28" t="s">
        <v>112</v>
      </c>
      <c r="C165" s="10"/>
      <c r="D165" s="10"/>
      <c r="E165" s="10"/>
    </row>
    <row r="166" spans="1:5" ht="24.9" customHeight="1" x14ac:dyDescent="0.3">
      <c r="A166" s="25">
        <v>163</v>
      </c>
      <c r="B166" s="28" t="s">
        <v>496</v>
      </c>
      <c r="C166" s="10"/>
      <c r="D166" s="10"/>
      <c r="E166" s="10"/>
    </row>
    <row r="167" spans="1:5" ht="24.9" customHeight="1" x14ac:dyDescent="0.3">
      <c r="A167" s="25">
        <v>164</v>
      </c>
      <c r="B167" s="28" t="s">
        <v>400</v>
      </c>
      <c r="C167" s="10"/>
      <c r="D167" s="10"/>
      <c r="E167" s="10"/>
    </row>
    <row r="168" spans="1:5" ht="24.9" customHeight="1" x14ac:dyDescent="0.3">
      <c r="A168" s="25">
        <v>165</v>
      </c>
      <c r="B168" s="28" t="s">
        <v>422</v>
      </c>
      <c r="C168" s="10"/>
      <c r="D168" s="10"/>
      <c r="E168" s="10"/>
    </row>
    <row r="169" spans="1:5" ht="24.9" customHeight="1" x14ac:dyDescent="0.3">
      <c r="A169" s="25">
        <v>166</v>
      </c>
      <c r="B169" s="36" t="s">
        <v>250</v>
      </c>
      <c r="C169" s="10"/>
      <c r="D169" s="10"/>
      <c r="E169" s="10"/>
    </row>
    <row r="170" spans="1:5" ht="24.9" customHeight="1" x14ac:dyDescent="0.3">
      <c r="A170" s="25">
        <v>167</v>
      </c>
      <c r="B170" s="28" t="s">
        <v>20</v>
      </c>
      <c r="C170" s="10"/>
      <c r="D170" s="10"/>
      <c r="E170" s="10"/>
    </row>
    <row r="171" spans="1:5" ht="24.9" customHeight="1" x14ac:dyDescent="0.3">
      <c r="A171" s="25">
        <v>168</v>
      </c>
      <c r="B171" s="28" t="s">
        <v>4</v>
      </c>
      <c r="C171" s="10"/>
      <c r="D171" s="10"/>
      <c r="E171" s="10"/>
    </row>
    <row r="172" spans="1:5" ht="24.9" customHeight="1" x14ac:dyDescent="0.3">
      <c r="A172" s="25">
        <v>169</v>
      </c>
      <c r="B172" s="28" t="s">
        <v>21</v>
      </c>
      <c r="C172" s="10"/>
      <c r="D172" s="10"/>
      <c r="E172" s="10"/>
    </row>
    <row r="173" spans="1:5" ht="24.9" customHeight="1" x14ac:dyDescent="0.3">
      <c r="A173" s="25">
        <v>170</v>
      </c>
      <c r="B173" s="36" t="s">
        <v>325</v>
      </c>
      <c r="C173" s="10"/>
      <c r="D173" s="10"/>
      <c r="E173" s="10"/>
    </row>
    <row r="174" spans="1:5" ht="24.9" customHeight="1" x14ac:dyDescent="0.3">
      <c r="A174" s="25">
        <v>171</v>
      </c>
      <c r="B174" s="28" t="s">
        <v>120</v>
      </c>
      <c r="C174" s="10"/>
      <c r="D174" s="10"/>
      <c r="E174" s="10"/>
    </row>
    <row r="175" spans="1:5" ht="24.9" customHeight="1" x14ac:dyDescent="0.3">
      <c r="A175" s="25">
        <v>172</v>
      </c>
      <c r="B175" s="28" t="s">
        <v>622</v>
      </c>
      <c r="C175" s="10"/>
      <c r="D175" s="10"/>
      <c r="E175" s="10"/>
    </row>
    <row r="176" spans="1:5" ht="24.9" customHeight="1" x14ac:dyDescent="0.3">
      <c r="A176" s="25">
        <v>173</v>
      </c>
      <c r="B176" s="28" t="s">
        <v>5</v>
      </c>
      <c r="C176" s="10"/>
      <c r="D176" s="10"/>
      <c r="E176" s="10"/>
    </row>
    <row r="177" spans="1:5" ht="24.9" customHeight="1" x14ac:dyDescent="0.3">
      <c r="A177" s="25">
        <v>174</v>
      </c>
      <c r="B177" s="28" t="s">
        <v>96</v>
      </c>
      <c r="C177" s="10"/>
      <c r="D177" s="10"/>
      <c r="E177" s="10"/>
    </row>
    <row r="178" spans="1:5" ht="24.9" customHeight="1" x14ac:dyDescent="0.3">
      <c r="A178" s="25">
        <v>175</v>
      </c>
      <c r="B178" s="52" t="s">
        <v>55</v>
      </c>
      <c r="C178" s="10"/>
      <c r="D178" s="10"/>
      <c r="E178" s="10"/>
    </row>
    <row r="179" spans="1:5" ht="24.9" customHeight="1" x14ac:dyDescent="0.3">
      <c r="A179" s="25">
        <v>176</v>
      </c>
      <c r="B179" s="28" t="s">
        <v>1082</v>
      </c>
      <c r="C179" s="10"/>
      <c r="D179" s="10"/>
      <c r="E179" s="10"/>
    </row>
    <row r="180" spans="1:5" ht="24.9" customHeight="1" x14ac:dyDescent="0.3">
      <c r="A180" s="25">
        <v>177</v>
      </c>
      <c r="B180" s="28" t="s">
        <v>544</v>
      </c>
      <c r="C180" s="10"/>
      <c r="D180" s="10"/>
      <c r="E180" s="10"/>
    </row>
    <row r="181" spans="1:5" ht="24.9" customHeight="1" x14ac:dyDescent="0.3">
      <c r="A181" s="25">
        <v>178</v>
      </c>
      <c r="B181" s="36" t="s">
        <v>255</v>
      </c>
      <c r="C181" s="10"/>
      <c r="D181" s="10"/>
      <c r="E181" s="10"/>
    </row>
    <row r="182" spans="1:5" ht="24.9" customHeight="1" x14ac:dyDescent="0.3">
      <c r="A182" s="25">
        <v>179</v>
      </c>
      <c r="B182" s="28" t="s">
        <v>466</v>
      </c>
      <c r="C182" s="10"/>
      <c r="D182" s="10"/>
      <c r="E182" s="10"/>
    </row>
    <row r="183" spans="1:5" ht="24.9" customHeight="1" x14ac:dyDescent="0.3">
      <c r="A183" s="25">
        <v>180</v>
      </c>
      <c r="B183" s="28" t="s">
        <v>356</v>
      </c>
      <c r="C183" s="10"/>
      <c r="D183" s="10"/>
      <c r="E183" s="10"/>
    </row>
    <row r="184" spans="1:5" ht="24.9" customHeight="1" x14ac:dyDescent="0.3">
      <c r="A184" s="25">
        <v>181</v>
      </c>
      <c r="B184" s="28" t="s">
        <v>22</v>
      </c>
      <c r="C184" s="10"/>
      <c r="D184" s="10"/>
      <c r="E184" s="10"/>
    </row>
    <row r="185" spans="1:5" ht="24.9" customHeight="1" x14ac:dyDescent="0.3">
      <c r="A185" s="25">
        <v>182</v>
      </c>
      <c r="B185" s="36" t="s">
        <v>817</v>
      </c>
      <c r="C185" s="10"/>
      <c r="D185" s="10"/>
      <c r="E185" s="10"/>
    </row>
    <row r="186" spans="1:5" ht="24.9" customHeight="1" x14ac:dyDescent="0.3">
      <c r="A186" s="25">
        <v>183</v>
      </c>
      <c r="B186" s="36" t="s">
        <v>1171</v>
      </c>
      <c r="C186" s="10"/>
      <c r="D186" s="10"/>
      <c r="E186" s="10"/>
    </row>
    <row r="187" spans="1:5" ht="24.9" customHeight="1" x14ac:dyDescent="0.3">
      <c r="A187" s="25">
        <v>184</v>
      </c>
      <c r="B187" s="28" t="s">
        <v>409</v>
      </c>
      <c r="C187" s="10"/>
      <c r="D187" s="10"/>
      <c r="E187" s="10"/>
    </row>
    <row r="188" spans="1:5" ht="24.9" customHeight="1" x14ac:dyDescent="0.3">
      <c r="A188" s="25">
        <v>185</v>
      </c>
      <c r="B188" s="36" t="s">
        <v>269</v>
      </c>
      <c r="C188" s="10"/>
      <c r="D188" s="10"/>
      <c r="E188" s="10"/>
    </row>
    <row r="189" spans="1:5" ht="24.9" customHeight="1" x14ac:dyDescent="0.3">
      <c r="A189" s="25">
        <v>186</v>
      </c>
      <c r="B189" s="28" t="s">
        <v>97</v>
      </c>
      <c r="C189" s="10"/>
      <c r="D189" s="10"/>
      <c r="E189" s="10"/>
    </row>
    <row r="190" spans="1:5" ht="24.9" customHeight="1" x14ac:dyDescent="0.3">
      <c r="A190" s="25">
        <v>187</v>
      </c>
      <c r="B190" s="28" t="s">
        <v>113</v>
      </c>
      <c r="C190" s="10"/>
      <c r="D190" s="10"/>
      <c r="E190" s="10"/>
    </row>
    <row r="191" spans="1:5" ht="24.9" customHeight="1" x14ac:dyDescent="0.3">
      <c r="A191" s="25">
        <v>188</v>
      </c>
      <c r="B191" s="28" t="s">
        <v>23</v>
      </c>
      <c r="C191" s="10"/>
      <c r="D191" s="10"/>
      <c r="E191" s="10"/>
    </row>
    <row r="192" spans="1:5" ht="24.9" customHeight="1" x14ac:dyDescent="0.3">
      <c r="A192" s="25">
        <v>189</v>
      </c>
      <c r="B192" s="36" t="s">
        <v>1179</v>
      </c>
      <c r="C192" s="10"/>
      <c r="D192" s="10"/>
      <c r="E192" s="10"/>
    </row>
    <row r="193" spans="1:5" ht="24.9" customHeight="1" x14ac:dyDescent="0.3">
      <c r="A193" s="25">
        <v>190</v>
      </c>
      <c r="B193" s="28" t="s">
        <v>100</v>
      </c>
      <c r="C193" s="10"/>
      <c r="D193" s="10"/>
      <c r="E193" s="10"/>
    </row>
    <row r="194" spans="1:5" ht="24.9" customHeight="1" x14ac:dyDescent="0.3">
      <c r="A194" s="25">
        <v>191</v>
      </c>
      <c r="B194" s="28" t="s">
        <v>75</v>
      </c>
      <c r="C194" s="10"/>
      <c r="D194" s="10"/>
      <c r="E194" s="10"/>
    </row>
    <row r="195" spans="1:5" ht="24.9" customHeight="1" x14ac:dyDescent="0.3">
      <c r="A195" s="25">
        <v>192</v>
      </c>
      <c r="B195" s="36" t="s">
        <v>556</v>
      </c>
      <c r="C195" s="10"/>
      <c r="D195" s="10"/>
      <c r="E195" s="10"/>
    </row>
    <row r="196" spans="1:5" ht="24.9" customHeight="1" x14ac:dyDescent="0.3">
      <c r="A196" s="25">
        <v>193</v>
      </c>
      <c r="B196" s="36" t="s">
        <v>1048</v>
      </c>
      <c r="C196" s="10"/>
      <c r="D196" s="10"/>
      <c r="E196" s="10"/>
    </row>
    <row r="197" spans="1:5" ht="24.9" customHeight="1" x14ac:dyDescent="0.3">
      <c r="A197" s="25">
        <v>194</v>
      </c>
      <c r="B197" s="36" t="s">
        <v>1115</v>
      </c>
      <c r="C197" s="10"/>
      <c r="D197" s="10"/>
      <c r="E197" s="10"/>
    </row>
    <row r="198" spans="1:5" ht="24.9" customHeight="1" x14ac:dyDescent="0.3">
      <c r="A198" s="25">
        <v>195</v>
      </c>
      <c r="B198" s="36" t="s">
        <v>778</v>
      </c>
      <c r="C198" s="10"/>
      <c r="D198" s="10"/>
      <c r="E198" s="10"/>
    </row>
    <row r="199" spans="1:5" ht="24.9" customHeight="1" x14ac:dyDescent="0.3">
      <c r="A199" s="25">
        <v>196</v>
      </c>
      <c r="B199" s="28" t="s">
        <v>101</v>
      </c>
      <c r="C199" s="10"/>
      <c r="D199" s="10"/>
      <c r="E199" s="10"/>
    </row>
    <row r="200" spans="1:5" ht="24.9" customHeight="1" x14ac:dyDescent="0.3">
      <c r="A200" s="25">
        <v>197</v>
      </c>
      <c r="B200" s="28" t="s">
        <v>559</v>
      </c>
      <c r="C200" s="10"/>
      <c r="D200" s="10"/>
      <c r="E200" s="10"/>
    </row>
    <row r="201" spans="1:5" ht="24.9" customHeight="1" x14ac:dyDescent="0.3">
      <c r="A201" s="25">
        <v>198</v>
      </c>
      <c r="B201" s="36" t="s">
        <v>1146</v>
      </c>
      <c r="C201" s="10"/>
      <c r="D201" s="10"/>
      <c r="E201" s="10"/>
    </row>
    <row r="202" spans="1:5" ht="24.9" customHeight="1" x14ac:dyDescent="0.3">
      <c r="A202" s="25">
        <v>199</v>
      </c>
      <c r="B202" s="28" t="s">
        <v>50</v>
      </c>
      <c r="C202" s="10"/>
      <c r="D202" s="10"/>
      <c r="E202" s="10"/>
    </row>
    <row r="203" spans="1:5" ht="24.9" customHeight="1" x14ac:dyDescent="0.3">
      <c r="A203" s="25">
        <v>200</v>
      </c>
      <c r="B203" s="28" t="s">
        <v>937</v>
      </c>
      <c r="C203" s="10"/>
      <c r="D203" s="10"/>
      <c r="E203" s="10"/>
    </row>
    <row r="204" spans="1:5" ht="24.9" customHeight="1" x14ac:dyDescent="0.3">
      <c r="A204" s="25">
        <v>201</v>
      </c>
      <c r="B204" s="28" t="s">
        <v>659</v>
      </c>
      <c r="C204" s="10"/>
      <c r="D204" s="10"/>
      <c r="E204" s="10"/>
    </row>
    <row r="205" spans="1:5" ht="24.9" customHeight="1" x14ac:dyDescent="0.3">
      <c r="A205" s="25">
        <v>202</v>
      </c>
      <c r="B205" s="28" t="s">
        <v>1164</v>
      </c>
      <c r="C205" s="10"/>
      <c r="D205" s="10"/>
      <c r="E205" s="10"/>
    </row>
    <row r="206" spans="1:5" ht="24.9" customHeight="1" x14ac:dyDescent="0.3">
      <c r="A206" s="25">
        <v>203</v>
      </c>
      <c r="B206" s="28" t="s">
        <v>306</v>
      </c>
      <c r="C206" s="10"/>
      <c r="D206" s="10"/>
      <c r="E206" s="10"/>
    </row>
    <row r="207" spans="1:5" ht="24.9" customHeight="1" x14ac:dyDescent="0.3">
      <c r="A207" s="25">
        <v>204</v>
      </c>
      <c r="B207" s="36" t="s">
        <v>217</v>
      </c>
      <c r="C207" s="10"/>
      <c r="D207" s="10"/>
      <c r="E207" s="10"/>
    </row>
    <row r="208" spans="1:5" ht="24.9" customHeight="1" x14ac:dyDescent="0.3">
      <c r="A208" s="25">
        <v>205</v>
      </c>
      <c r="B208" s="28" t="s">
        <v>1103</v>
      </c>
      <c r="C208" s="10"/>
      <c r="D208" s="10"/>
      <c r="E208" s="10"/>
    </row>
    <row r="209" spans="1:5" ht="24.9" customHeight="1" x14ac:dyDescent="0.3">
      <c r="A209" s="25">
        <v>206</v>
      </c>
      <c r="B209" s="28" t="s">
        <v>752</v>
      </c>
      <c r="C209" s="10"/>
      <c r="D209" s="10"/>
      <c r="E209" s="10"/>
    </row>
    <row r="210" spans="1:5" ht="24.9" customHeight="1" x14ac:dyDescent="0.3">
      <c r="A210" s="25">
        <v>207</v>
      </c>
      <c r="B210" s="28" t="s">
        <v>882</v>
      </c>
      <c r="C210" s="10"/>
      <c r="D210" s="10"/>
      <c r="E210" s="10"/>
    </row>
    <row r="211" spans="1:5" ht="24.9" customHeight="1" x14ac:dyDescent="0.3">
      <c r="A211" s="25">
        <v>208</v>
      </c>
      <c r="B211" s="28" t="s">
        <v>63</v>
      </c>
      <c r="C211" s="10"/>
      <c r="D211" s="10"/>
      <c r="E211" s="10"/>
    </row>
    <row r="212" spans="1:5" ht="24.9" customHeight="1" x14ac:dyDescent="0.3">
      <c r="A212" s="25">
        <v>209</v>
      </c>
      <c r="B212" s="28" t="s">
        <v>36</v>
      </c>
      <c r="C212" s="10"/>
      <c r="D212" s="10"/>
      <c r="E212" s="10"/>
    </row>
    <row r="213" spans="1:5" ht="24.9" customHeight="1" x14ac:dyDescent="0.3">
      <c r="A213" s="25">
        <v>210</v>
      </c>
      <c r="B213" s="28" t="s">
        <v>712</v>
      </c>
      <c r="C213" s="10"/>
      <c r="D213" s="10"/>
      <c r="E213" s="10"/>
    </row>
    <row r="214" spans="1:5" ht="24.9" customHeight="1" x14ac:dyDescent="0.3">
      <c r="A214" s="25">
        <v>211</v>
      </c>
      <c r="B214" s="36" t="s">
        <v>1226</v>
      </c>
      <c r="C214" s="10"/>
      <c r="D214" s="10"/>
      <c r="E214" s="10"/>
    </row>
    <row r="215" spans="1:5" ht="24.9" customHeight="1" x14ac:dyDescent="0.3">
      <c r="A215" s="25">
        <v>212</v>
      </c>
      <c r="B215" s="28" t="s">
        <v>549</v>
      </c>
      <c r="C215" s="10"/>
      <c r="D215" s="10"/>
      <c r="E215" s="10"/>
    </row>
    <row r="216" spans="1:5" ht="24.9" customHeight="1" x14ac:dyDescent="0.3">
      <c r="A216" s="25">
        <v>213</v>
      </c>
      <c r="B216" s="36" t="s">
        <v>533</v>
      </c>
      <c r="C216" s="10"/>
      <c r="D216" s="10"/>
      <c r="E216" s="10"/>
    </row>
    <row r="217" spans="1:5" ht="24.9" customHeight="1" x14ac:dyDescent="0.3">
      <c r="A217" s="25">
        <v>214</v>
      </c>
      <c r="B217" s="28" t="s">
        <v>764</v>
      </c>
      <c r="C217" s="10"/>
      <c r="D217" s="10"/>
      <c r="E217" s="10"/>
    </row>
    <row r="218" spans="1:5" ht="24.9" customHeight="1" x14ac:dyDescent="0.3">
      <c r="A218" s="25">
        <v>215</v>
      </c>
      <c r="B218" s="28" t="s">
        <v>732</v>
      </c>
      <c r="C218" s="10"/>
      <c r="D218" s="10"/>
      <c r="E218" s="10"/>
    </row>
    <row r="219" spans="1:5" ht="24.9" customHeight="1" x14ac:dyDescent="0.3">
      <c r="A219" s="25">
        <v>216</v>
      </c>
      <c r="B219" s="36" t="s">
        <v>1230</v>
      </c>
      <c r="C219" s="10"/>
      <c r="D219" s="10"/>
      <c r="E219" s="10"/>
    </row>
    <row r="220" spans="1:5" ht="24.9" customHeight="1" x14ac:dyDescent="0.3">
      <c r="A220" s="25">
        <v>217</v>
      </c>
      <c r="B220" s="28" t="s">
        <v>847</v>
      </c>
      <c r="C220" s="10"/>
      <c r="D220" s="10"/>
      <c r="E220" s="10"/>
    </row>
    <row r="221" spans="1:5" ht="24.9" customHeight="1" x14ac:dyDescent="0.3">
      <c r="A221" s="25">
        <v>218</v>
      </c>
      <c r="B221" s="28" t="s">
        <v>384</v>
      </c>
      <c r="C221" s="10"/>
      <c r="D221" s="10"/>
      <c r="E221" s="10"/>
    </row>
    <row r="222" spans="1:5" ht="24.9" customHeight="1" x14ac:dyDescent="0.3">
      <c r="A222" s="25">
        <v>219</v>
      </c>
      <c r="B222" s="28" t="s">
        <v>359</v>
      </c>
      <c r="C222" s="10"/>
      <c r="D222" s="10"/>
      <c r="E222" s="10"/>
    </row>
    <row r="223" spans="1:5" ht="24.9" customHeight="1" x14ac:dyDescent="0.3">
      <c r="A223" s="25">
        <v>220</v>
      </c>
      <c r="B223" s="36" t="s">
        <v>996</v>
      </c>
      <c r="C223" s="10"/>
      <c r="D223" s="10"/>
      <c r="E223" s="10"/>
    </row>
    <row r="224" spans="1:5" ht="24.9" customHeight="1" x14ac:dyDescent="0.3">
      <c r="A224" s="25">
        <v>221</v>
      </c>
      <c r="B224" s="28" t="s">
        <v>37</v>
      </c>
      <c r="C224" s="10"/>
      <c r="D224" s="10"/>
      <c r="E224" s="10"/>
    </row>
    <row r="225" spans="1:5" ht="24.9" customHeight="1" x14ac:dyDescent="0.3">
      <c r="A225" s="25">
        <v>222</v>
      </c>
      <c r="B225" s="36" t="s">
        <v>1029</v>
      </c>
      <c r="C225" s="10"/>
      <c r="D225" s="10"/>
      <c r="E225" s="10"/>
    </row>
    <row r="226" spans="1:5" ht="24.9" customHeight="1" x14ac:dyDescent="0.3">
      <c r="A226" s="25">
        <v>223</v>
      </c>
      <c r="B226" s="36" t="s">
        <v>226</v>
      </c>
      <c r="C226" s="10"/>
      <c r="D226" s="10"/>
      <c r="E226" s="10"/>
    </row>
    <row r="227" spans="1:5" ht="24.9" customHeight="1" x14ac:dyDescent="0.3">
      <c r="A227" s="25">
        <v>224</v>
      </c>
      <c r="B227" s="28" t="s">
        <v>852</v>
      </c>
      <c r="C227" s="10"/>
      <c r="D227" s="10"/>
      <c r="E227" s="10"/>
    </row>
    <row r="228" spans="1:5" ht="24.9" customHeight="1" x14ac:dyDescent="0.3">
      <c r="A228" s="25">
        <v>225</v>
      </c>
      <c r="B228" s="28" t="s">
        <v>129</v>
      </c>
      <c r="C228" s="10"/>
      <c r="D228" s="10"/>
      <c r="E228" s="10"/>
    </row>
    <row r="229" spans="1:5" ht="24.9" customHeight="1" x14ac:dyDescent="0.3">
      <c r="A229" s="25">
        <v>226</v>
      </c>
      <c r="B229" s="28" t="s">
        <v>69</v>
      </c>
      <c r="C229" s="10"/>
      <c r="D229" s="10"/>
      <c r="E229" s="10"/>
    </row>
    <row r="230" spans="1:5" ht="24.9" customHeight="1" x14ac:dyDescent="0.3">
      <c r="A230" s="25">
        <v>227</v>
      </c>
      <c r="B230" s="28" t="s">
        <v>489</v>
      </c>
      <c r="C230" s="10"/>
      <c r="D230" s="10"/>
      <c r="E230" s="10"/>
    </row>
    <row r="231" spans="1:5" ht="24.9" customHeight="1" x14ac:dyDescent="0.3">
      <c r="A231" s="25">
        <v>228</v>
      </c>
      <c r="B231" s="36" t="s">
        <v>1194</v>
      </c>
      <c r="C231" s="10"/>
      <c r="D231" s="10"/>
      <c r="E231" s="10"/>
    </row>
    <row r="232" spans="1:5" ht="24.9" customHeight="1" x14ac:dyDescent="0.3">
      <c r="A232" s="25">
        <v>229</v>
      </c>
      <c r="B232" s="28" t="s">
        <v>993</v>
      </c>
      <c r="C232" s="10"/>
      <c r="D232" s="10"/>
      <c r="E232" s="10"/>
    </row>
    <row r="233" spans="1:5" ht="24.9" customHeight="1" x14ac:dyDescent="0.3">
      <c r="A233" s="25">
        <v>230</v>
      </c>
      <c r="B233" s="28" t="s">
        <v>38</v>
      </c>
      <c r="C233" s="10"/>
      <c r="D233" s="10"/>
      <c r="E233" s="10"/>
    </row>
    <row r="234" spans="1:5" ht="24.9" customHeight="1" x14ac:dyDescent="0.3">
      <c r="A234" s="25">
        <v>231</v>
      </c>
      <c r="B234" s="28" t="s">
        <v>203</v>
      </c>
      <c r="C234" s="10"/>
      <c r="D234" s="10"/>
      <c r="E234" s="10"/>
    </row>
    <row r="235" spans="1:5" ht="24.9" customHeight="1" x14ac:dyDescent="0.3">
      <c r="A235" s="25">
        <v>232</v>
      </c>
      <c r="B235" s="36" t="s">
        <v>1032</v>
      </c>
      <c r="C235" s="10"/>
      <c r="D235" s="10"/>
      <c r="E235" s="10"/>
    </row>
    <row r="236" spans="1:5" ht="24.9" customHeight="1" x14ac:dyDescent="0.3">
      <c r="A236" s="25">
        <v>233</v>
      </c>
      <c r="B236" s="28" t="s">
        <v>6</v>
      </c>
      <c r="C236" s="10"/>
      <c r="D236" s="10"/>
      <c r="E236" s="10"/>
    </row>
    <row r="237" spans="1:5" ht="24.9" customHeight="1" x14ac:dyDescent="0.3">
      <c r="A237" s="25">
        <v>234</v>
      </c>
      <c r="B237" s="28" t="s">
        <v>56</v>
      </c>
      <c r="C237" s="10"/>
      <c r="D237" s="10"/>
      <c r="E237" s="10"/>
    </row>
    <row r="238" spans="1:5" ht="24.9" customHeight="1" x14ac:dyDescent="0.3">
      <c r="A238" s="25">
        <v>235</v>
      </c>
      <c r="B238" s="36" t="s">
        <v>493</v>
      </c>
      <c r="C238" s="10"/>
      <c r="D238" s="10"/>
      <c r="E238" s="10"/>
    </row>
    <row r="239" spans="1:5" ht="24.9" customHeight="1" x14ac:dyDescent="0.3">
      <c r="A239" s="25">
        <v>236</v>
      </c>
      <c r="B239" s="36" t="s">
        <v>484</v>
      </c>
      <c r="C239" s="10"/>
      <c r="D239" s="10"/>
      <c r="E239" s="10"/>
    </row>
    <row r="240" spans="1:5" ht="24.9" customHeight="1" x14ac:dyDescent="0.3">
      <c r="A240" s="25">
        <v>237</v>
      </c>
      <c r="B240" s="28" t="s">
        <v>1004</v>
      </c>
      <c r="C240" s="10"/>
      <c r="D240" s="10"/>
      <c r="E240" s="10"/>
    </row>
    <row r="241" spans="1:5" ht="24.9" customHeight="1" x14ac:dyDescent="0.3">
      <c r="A241" s="25">
        <v>238</v>
      </c>
      <c r="B241" s="36" t="s">
        <v>1063</v>
      </c>
      <c r="C241" s="10"/>
      <c r="D241" s="10"/>
      <c r="E241" s="10"/>
    </row>
    <row r="242" spans="1:5" ht="24.9" customHeight="1" x14ac:dyDescent="0.3">
      <c r="A242" s="25">
        <v>239</v>
      </c>
      <c r="B242" s="28" t="s">
        <v>114</v>
      </c>
      <c r="C242" s="10"/>
      <c r="D242" s="10"/>
      <c r="E242" s="10"/>
    </row>
    <row r="243" spans="1:5" ht="24.9" customHeight="1" x14ac:dyDescent="0.3">
      <c r="A243" s="25">
        <v>240</v>
      </c>
      <c r="B243" s="28" t="s">
        <v>393</v>
      </c>
      <c r="C243" s="10"/>
      <c r="D243" s="10"/>
      <c r="E243" s="10"/>
    </row>
    <row r="244" spans="1:5" ht="24.9" customHeight="1" x14ac:dyDescent="0.3">
      <c r="A244" s="25">
        <v>241</v>
      </c>
      <c r="B244" s="28" t="s">
        <v>89</v>
      </c>
      <c r="C244" s="10"/>
      <c r="D244" s="10"/>
      <c r="E244" s="10"/>
    </row>
    <row r="245" spans="1:5" ht="24.9" customHeight="1" x14ac:dyDescent="0.3">
      <c r="A245" s="25">
        <v>242</v>
      </c>
      <c r="B245" s="28" t="s">
        <v>813</v>
      </c>
      <c r="C245" s="10"/>
      <c r="D245" s="10"/>
      <c r="E245" s="10"/>
    </row>
    <row r="246" spans="1:5" ht="24.9" customHeight="1" x14ac:dyDescent="0.3">
      <c r="A246" s="25">
        <v>243</v>
      </c>
      <c r="B246" s="28" t="s">
        <v>39</v>
      </c>
      <c r="C246" s="10"/>
      <c r="D246" s="10"/>
      <c r="E246" s="10"/>
    </row>
    <row r="247" spans="1:5" ht="24.9" customHeight="1" x14ac:dyDescent="0.3">
      <c r="A247" s="25">
        <v>244</v>
      </c>
      <c r="B247" s="28" t="s">
        <v>376</v>
      </c>
      <c r="C247" s="10"/>
      <c r="D247" s="10"/>
      <c r="E247" s="10"/>
    </row>
    <row r="248" spans="1:5" ht="24.9" customHeight="1" x14ac:dyDescent="0.3">
      <c r="A248" s="25">
        <v>245</v>
      </c>
      <c r="B248" s="36" t="s">
        <v>795</v>
      </c>
      <c r="C248" s="10"/>
      <c r="D248" s="10"/>
      <c r="E248" s="10"/>
    </row>
    <row r="249" spans="1:5" ht="24.9" customHeight="1" x14ac:dyDescent="0.3">
      <c r="A249" s="25">
        <v>246</v>
      </c>
      <c r="B249" s="28" t="s">
        <v>958</v>
      </c>
      <c r="C249" s="10"/>
      <c r="D249" s="10"/>
      <c r="E249" s="10"/>
    </row>
    <row r="250" spans="1:5" ht="24.9" customHeight="1" x14ac:dyDescent="0.3">
      <c r="A250" s="25">
        <v>247</v>
      </c>
      <c r="B250" s="28" t="s">
        <v>671</v>
      </c>
      <c r="C250" s="10"/>
      <c r="D250" s="10"/>
      <c r="E250" s="10"/>
    </row>
    <row r="251" spans="1:5" ht="24.9" customHeight="1" x14ac:dyDescent="0.3">
      <c r="A251" s="25">
        <v>248</v>
      </c>
      <c r="B251" s="28" t="s">
        <v>51</v>
      </c>
      <c r="C251" s="10"/>
      <c r="D251" s="10"/>
      <c r="E251" s="10"/>
    </row>
    <row r="252" spans="1:5" ht="24.9" customHeight="1" x14ac:dyDescent="0.3">
      <c r="A252" s="25">
        <v>249</v>
      </c>
      <c r="B252" s="28" t="s">
        <v>84</v>
      </c>
      <c r="C252" s="10"/>
      <c r="D252" s="10"/>
      <c r="E252" s="10"/>
    </row>
    <row r="253" spans="1:5" ht="24.9" customHeight="1" x14ac:dyDescent="0.3">
      <c r="A253" s="25">
        <v>250</v>
      </c>
      <c r="B253" s="28" t="s">
        <v>102</v>
      </c>
      <c r="C253" s="10"/>
      <c r="D253" s="10"/>
      <c r="E253" s="10"/>
    </row>
    <row r="254" spans="1:5" ht="24.9" customHeight="1" x14ac:dyDescent="0.3">
      <c r="A254" s="25">
        <v>251</v>
      </c>
      <c r="B254" s="28" t="s">
        <v>1095</v>
      </c>
      <c r="C254" s="10"/>
      <c r="D254" s="10"/>
      <c r="E254" s="10"/>
    </row>
    <row r="255" spans="1:5" ht="24.9" customHeight="1" x14ac:dyDescent="0.3">
      <c r="A255" s="25">
        <v>252</v>
      </c>
      <c r="B255" s="36" t="s">
        <v>1050</v>
      </c>
      <c r="C255" s="10"/>
      <c r="D255" s="10"/>
      <c r="E255" s="10"/>
    </row>
    <row r="256" spans="1:5" ht="24.9" customHeight="1" x14ac:dyDescent="0.3">
      <c r="A256" s="25">
        <v>253</v>
      </c>
      <c r="B256" s="28" t="s">
        <v>902</v>
      </c>
      <c r="C256" s="10"/>
      <c r="D256" s="10"/>
      <c r="E256" s="10"/>
    </row>
    <row r="257" spans="1:5" ht="24.9" customHeight="1" x14ac:dyDescent="0.3">
      <c r="A257" s="25">
        <v>254</v>
      </c>
      <c r="B257" s="28" t="s">
        <v>722</v>
      </c>
      <c r="C257" s="10"/>
      <c r="D257" s="10"/>
      <c r="E257" s="10"/>
    </row>
    <row r="258" spans="1:5" ht="24.9" customHeight="1" x14ac:dyDescent="0.3">
      <c r="A258" s="25">
        <v>255</v>
      </c>
      <c r="B258" s="28" t="s">
        <v>276</v>
      </c>
      <c r="C258" s="10"/>
      <c r="D258" s="10"/>
      <c r="E258" s="10"/>
    </row>
    <row r="259" spans="1:5" ht="24.9" customHeight="1" x14ac:dyDescent="0.3">
      <c r="A259" s="25">
        <v>256</v>
      </c>
      <c r="B259" s="28" t="s">
        <v>222</v>
      </c>
      <c r="C259" s="10"/>
      <c r="D259" s="10"/>
      <c r="E259" s="10"/>
    </row>
    <row r="260" spans="1:5" ht="24.9" customHeight="1" x14ac:dyDescent="0.3">
      <c r="A260" s="25">
        <v>257</v>
      </c>
      <c r="B260" s="28" t="s">
        <v>103</v>
      </c>
      <c r="C260" s="10"/>
      <c r="D260" s="10"/>
      <c r="E260" s="10"/>
    </row>
    <row r="261" spans="1:5" ht="24.9" customHeight="1" x14ac:dyDescent="0.3">
      <c r="A261" s="25">
        <v>258</v>
      </c>
      <c r="B261" s="36" t="s">
        <v>1248</v>
      </c>
      <c r="C261" s="10"/>
      <c r="D261" s="10"/>
      <c r="E261" s="10"/>
    </row>
    <row r="262" spans="1:5" ht="24.9" customHeight="1" x14ac:dyDescent="0.3">
      <c r="A262" s="25">
        <v>259</v>
      </c>
      <c r="B262" s="28" t="s">
        <v>115</v>
      </c>
      <c r="C262" s="10"/>
      <c r="D262" s="10"/>
      <c r="E262" s="10"/>
    </row>
    <row r="263" spans="1:5" ht="24.9" customHeight="1" x14ac:dyDescent="0.3">
      <c r="A263" s="25">
        <v>260</v>
      </c>
      <c r="B263" s="36" t="s">
        <v>830</v>
      </c>
      <c r="C263" s="10"/>
      <c r="D263" s="10"/>
      <c r="E263" s="10"/>
    </row>
    <row r="264" spans="1:5" ht="24.9" customHeight="1" x14ac:dyDescent="0.3">
      <c r="A264" s="25">
        <v>261</v>
      </c>
      <c r="B264" s="36" t="s">
        <v>1218</v>
      </c>
      <c r="C264" s="10"/>
      <c r="D264" s="10"/>
      <c r="E264" s="10"/>
    </row>
    <row r="265" spans="1:5" ht="24.9" customHeight="1" x14ac:dyDescent="0.3">
      <c r="A265" s="25">
        <v>262</v>
      </c>
      <c r="B265" s="28" t="s">
        <v>52</v>
      </c>
      <c r="C265" s="10"/>
      <c r="D265" s="10"/>
      <c r="E265" s="10"/>
    </row>
    <row r="266" spans="1:5" ht="24.9" customHeight="1" x14ac:dyDescent="0.3">
      <c r="A266" s="25">
        <v>263</v>
      </c>
      <c r="B266" s="28" t="s">
        <v>719</v>
      </c>
      <c r="C266" s="10"/>
      <c r="D266" s="10"/>
      <c r="E266" s="10"/>
    </row>
    <row r="267" spans="1:5" ht="24.9" customHeight="1" x14ac:dyDescent="0.3">
      <c r="A267" s="25">
        <v>264</v>
      </c>
      <c r="B267" s="36" t="s">
        <v>202</v>
      </c>
      <c r="C267" s="10"/>
      <c r="D267" s="10"/>
      <c r="E267" s="10"/>
    </row>
    <row r="268" spans="1:5" ht="24.9" customHeight="1" x14ac:dyDescent="0.3">
      <c r="A268" s="25">
        <v>265</v>
      </c>
      <c r="B268" s="28" t="s">
        <v>455</v>
      </c>
      <c r="C268" s="10"/>
      <c r="D268" s="10"/>
      <c r="E268" s="10"/>
    </row>
    <row r="269" spans="1:5" ht="24.9" customHeight="1" x14ac:dyDescent="0.3">
      <c r="A269" s="25">
        <v>266</v>
      </c>
      <c r="B269" s="36" t="s">
        <v>1223</v>
      </c>
      <c r="C269" s="10"/>
      <c r="D269" s="10"/>
      <c r="E269" s="10"/>
    </row>
    <row r="270" spans="1:5" ht="24.9" customHeight="1" x14ac:dyDescent="0.3">
      <c r="A270" s="25">
        <v>267</v>
      </c>
      <c r="B270" s="28" t="s">
        <v>57</v>
      </c>
      <c r="C270" s="10"/>
      <c r="D270" s="10"/>
      <c r="E270" s="10"/>
    </row>
    <row r="271" spans="1:5" ht="24.9" customHeight="1" x14ac:dyDescent="0.3">
      <c r="A271" s="25">
        <v>268</v>
      </c>
      <c r="B271" s="28" t="s">
        <v>198</v>
      </c>
      <c r="C271" s="10"/>
      <c r="D271" s="10"/>
      <c r="E271" s="10"/>
    </row>
    <row r="272" spans="1:5" ht="24.9" customHeight="1" x14ac:dyDescent="0.3">
      <c r="A272" s="25">
        <v>269</v>
      </c>
      <c r="B272" s="28" t="s">
        <v>973</v>
      </c>
      <c r="C272" s="10"/>
      <c r="D272" s="10"/>
      <c r="E272" s="10"/>
    </row>
    <row r="273" spans="1:5" ht="24.9" customHeight="1" x14ac:dyDescent="0.3">
      <c r="A273" s="25">
        <v>270</v>
      </c>
      <c r="B273" s="28" t="s">
        <v>480</v>
      </c>
      <c r="C273" s="10"/>
      <c r="D273" s="10"/>
      <c r="E273" s="10"/>
    </row>
    <row r="274" spans="1:5" ht="24.9" customHeight="1" x14ac:dyDescent="0.3">
      <c r="A274" s="25">
        <v>271</v>
      </c>
      <c r="B274" s="28" t="s">
        <v>522</v>
      </c>
      <c r="C274" s="10"/>
      <c r="D274" s="10"/>
      <c r="E274" s="10"/>
    </row>
    <row r="275" spans="1:5" ht="24.9" customHeight="1" x14ac:dyDescent="0.3">
      <c r="A275" s="25">
        <v>272</v>
      </c>
      <c r="B275" s="28" t="s">
        <v>688</v>
      </c>
      <c r="C275" s="10"/>
      <c r="D275" s="10"/>
      <c r="E275" s="10"/>
    </row>
    <row r="276" spans="1:5" ht="24.9" customHeight="1" x14ac:dyDescent="0.3">
      <c r="A276" s="25">
        <v>273</v>
      </c>
      <c r="B276" s="36" t="s">
        <v>1056</v>
      </c>
      <c r="C276" s="10"/>
      <c r="D276" s="10"/>
      <c r="E276" s="10"/>
    </row>
    <row r="277" spans="1:5" ht="24.9" customHeight="1" x14ac:dyDescent="0.3">
      <c r="A277" s="25">
        <v>274</v>
      </c>
      <c r="B277" s="28" t="s">
        <v>121</v>
      </c>
      <c r="C277" s="10"/>
      <c r="D277" s="10"/>
      <c r="E277" s="10"/>
    </row>
    <row r="278" spans="1:5" ht="24.9" customHeight="1" x14ac:dyDescent="0.3">
      <c r="A278" s="25">
        <v>275</v>
      </c>
      <c r="B278" s="28" t="s">
        <v>635</v>
      </c>
      <c r="C278" s="10"/>
      <c r="D278" s="10"/>
      <c r="E278" s="10"/>
    </row>
    <row r="279" spans="1:5" ht="24.9" customHeight="1" x14ac:dyDescent="0.3">
      <c r="A279" s="25">
        <v>276</v>
      </c>
      <c r="B279" s="28" t="s">
        <v>525</v>
      </c>
      <c r="C279" s="10"/>
      <c r="D279" s="10"/>
      <c r="E279" s="10"/>
    </row>
    <row r="280" spans="1:5" ht="24.9" customHeight="1" x14ac:dyDescent="0.3">
      <c r="A280" s="25">
        <v>277</v>
      </c>
      <c r="B280" s="28" t="s">
        <v>443</v>
      </c>
      <c r="C280" s="10"/>
      <c r="D280" s="10"/>
      <c r="E280" s="10"/>
    </row>
    <row r="281" spans="1:5" ht="24.9" customHeight="1" x14ac:dyDescent="0.3">
      <c r="A281" s="25">
        <v>278</v>
      </c>
      <c r="B281" s="28" t="s">
        <v>699</v>
      </c>
      <c r="C281" s="10"/>
      <c r="D281" s="10"/>
      <c r="E281" s="10"/>
    </row>
    <row r="282" spans="1:5" ht="24.9" customHeight="1" x14ac:dyDescent="0.3">
      <c r="A282" s="25">
        <v>279</v>
      </c>
      <c r="B282" s="36" t="s">
        <v>341</v>
      </c>
      <c r="C282" s="10"/>
      <c r="D282" s="10"/>
      <c r="E282" s="10"/>
    </row>
    <row r="283" spans="1:5" ht="24.9" customHeight="1" x14ac:dyDescent="0.3">
      <c r="A283" s="25">
        <v>280</v>
      </c>
      <c r="B283" s="28" t="s">
        <v>476</v>
      </c>
      <c r="C283" s="10"/>
      <c r="D283" s="10"/>
      <c r="E283" s="10"/>
    </row>
    <row r="284" spans="1:5" ht="24.9" customHeight="1" x14ac:dyDescent="0.3">
      <c r="A284" s="25">
        <v>281</v>
      </c>
      <c r="B284" s="28" t="s">
        <v>1151</v>
      </c>
      <c r="C284" s="10"/>
      <c r="D284" s="10"/>
      <c r="E284" s="10"/>
    </row>
    <row r="285" spans="1:5" ht="24.9" customHeight="1" x14ac:dyDescent="0.3">
      <c r="A285" s="25">
        <v>282</v>
      </c>
      <c r="B285" s="28" t="s">
        <v>451</v>
      </c>
      <c r="C285" s="10"/>
      <c r="D285" s="10"/>
      <c r="E285" s="10"/>
    </row>
    <row r="286" spans="1:5" ht="24.9" customHeight="1" x14ac:dyDescent="0.3">
      <c r="A286" s="25">
        <v>283</v>
      </c>
      <c r="B286" s="28" t="s">
        <v>127</v>
      </c>
      <c r="C286" s="10"/>
      <c r="D286" s="10"/>
      <c r="E286" s="10"/>
    </row>
    <row r="287" spans="1:5" ht="24.9" customHeight="1" x14ac:dyDescent="0.3">
      <c r="A287" s="25">
        <v>284</v>
      </c>
      <c r="B287" s="28" t="s">
        <v>122</v>
      </c>
      <c r="C287" s="10"/>
      <c r="D287" s="10"/>
      <c r="E287" s="10"/>
    </row>
    <row r="288" spans="1:5" ht="24.9" customHeight="1" x14ac:dyDescent="0.3">
      <c r="A288" s="25">
        <v>285</v>
      </c>
      <c r="B288" s="28" t="s">
        <v>64</v>
      </c>
      <c r="C288" s="10"/>
      <c r="D288" s="10"/>
      <c r="E288" s="10"/>
    </row>
    <row r="289" spans="1:5" ht="24.9" customHeight="1" x14ac:dyDescent="0.3">
      <c r="A289" s="25">
        <v>286</v>
      </c>
      <c r="B289" s="28" t="s">
        <v>7</v>
      </c>
      <c r="C289" s="10"/>
      <c r="D289" s="10"/>
      <c r="E289" s="10"/>
    </row>
    <row r="290" spans="1:5" ht="24.9" customHeight="1" x14ac:dyDescent="0.3">
      <c r="A290" s="25">
        <v>287</v>
      </c>
      <c r="B290" s="36" t="s">
        <v>1111</v>
      </c>
      <c r="C290" s="10"/>
      <c r="D290" s="10"/>
      <c r="E290" s="10"/>
    </row>
    <row r="291" spans="1:5" ht="24.9" customHeight="1" x14ac:dyDescent="0.3">
      <c r="A291" s="25">
        <v>288</v>
      </c>
      <c r="B291" s="28" t="s">
        <v>663</v>
      </c>
      <c r="C291" s="10"/>
      <c r="D291" s="10"/>
      <c r="E291" s="10"/>
    </row>
    <row r="292" spans="1:5" ht="24.9" customHeight="1" x14ac:dyDescent="0.3">
      <c r="A292" s="25">
        <v>289</v>
      </c>
      <c r="B292" s="36" t="s">
        <v>1229</v>
      </c>
      <c r="C292" s="10"/>
      <c r="D292" s="10"/>
      <c r="E292" s="10"/>
    </row>
    <row r="293" spans="1:5" ht="24.9" customHeight="1" x14ac:dyDescent="0.3">
      <c r="A293" s="25">
        <v>290</v>
      </c>
      <c r="B293" s="28" t="s">
        <v>336</v>
      </c>
      <c r="C293" s="10"/>
      <c r="D293" s="10"/>
      <c r="E293" s="10"/>
    </row>
    <row r="294" spans="1:5" ht="24.9" customHeight="1" x14ac:dyDescent="0.3">
      <c r="A294" s="25">
        <v>291</v>
      </c>
      <c r="B294" s="36" t="s">
        <v>585</v>
      </c>
      <c r="C294" s="10"/>
      <c r="D294" s="10"/>
      <c r="E294" s="10"/>
    </row>
    <row r="295" spans="1:5" ht="24.9" customHeight="1" x14ac:dyDescent="0.3">
      <c r="A295" s="25">
        <v>292</v>
      </c>
      <c r="B295" s="28" t="s">
        <v>504</v>
      </c>
      <c r="C295" s="10"/>
      <c r="D295" s="10"/>
      <c r="E295" s="10"/>
    </row>
    <row r="296" spans="1:5" ht="24.9" customHeight="1" x14ac:dyDescent="0.3">
      <c r="A296" s="25">
        <v>293</v>
      </c>
      <c r="B296" s="28" t="s">
        <v>470</v>
      </c>
      <c r="C296" s="10"/>
      <c r="D296" s="10"/>
      <c r="E296" s="10"/>
    </row>
    <row r="297" spans="1:5" ht="24.9" customHeight="1" x14ac:dyDescent="0.3">
      <c r="A297" s="25">
        <v>294</v>
      </c>
      <c r="B297" s="28" t="s">
        <v>682</v>
      </c>
      <c r="C297" s="10"/>
      <c r="D297" s="10"/>
      <c r="E297" s="10"/>
    </row>
    <row r="298" spans="1:5" ht="24.9" customHeight="1" x14ac:dyDescent="0.3">
      <c r="A298" s="25">
        <v>295</v>
      </c>
      <c r="B298" s="36" t="s">
        <v>970</v>
      </c>
      <c r="C298" s="10"/>
      <c r="D298" s="10"/>
      <c r="E298" s="10"/>
    </row>
    <row r="299" spans="1:5" ht="24.9" customHeight="1" x14ac:dyDescent="0.3">
      <c r="A299" s="25">
        <v>296</v>
      </c>
      <c r="B299" s="36" t="s">
        <v>569</v>
      </c>
      <c r="C299" s="10"/>
      <c r="D299" s="10"/>
      <c r="E299" s="10"/>
    </row>
    <row r="300" spans="1:5" ht="24.9" customHeight="1" x14ac:dyDescent="0.3">
      <c r="A300" s="25">
        <v>297</v>
      </c>
      <c r="B300" s="28" t="s">
        <v>354</v>
      </c>
      <c r="C300" s="10"/>
      <c r="D300" s="10"/>
      <c r="E300" s="10"/>
    </row>
    <row r="301" spans="1:5" ht="24.9" customHeight="1" x14ac:dyDescent="0.3">
      <c r="A301" s="25">
        <v>298</v>
      </c>
      <c r="B301" s="28" t="s">
        <v>65</v>
      </c>
      <c r="C301" s="10"/>
      <c r="D301" s="10"/>
      <c r="E301" s="10"/>
    </row>
    <row r="302" spans="1:5" ht="24.9" customHeight="1" x14ac:dyDescent="0.3">
      <c r="A302" s="25">
        <v>299</v>
      </c>
      <c r="B302" s="28" t="s">
        <v>597</v>
      </c>
      <c r="C302" s="10"/>
      <c r="D302" s="10"/>
      <c r="E302" s="10"/>
    </row>
    <row r="303" spans="1:5" ht="24.9" customHeight="1" x14ac:dyDescent="0.3">
      <c r="A303" s="25">
        <v>300</v>
      </c>
      <c r="B303" s="28" t="s">
        <v>70</v>
      </c>
      <c r="C303" s="10"/>
      <c r="D303" s="10"/>
      <c r="E303" s="10"/>
    </row>
    <row r="304" spans="1:5" ht="24.9" customHeight="1" x14ac:dyDescent="0.3">
      <c r="A304" s="25">
        <v>301</v>
      </c>
      <c r="B304" s="36" t="s">
        <v>1043</v>
      </c>
      <c r="C304" s="10"/>
      <c r="D304" s="10"/>
      <c r="E304" s="10"/>
    </row>
    <row r="305" spans="1:5" ht="24.9" customHeight="1" x14ac:dyDescent="0.3">
      <c r="A305" s="25">
        <v>302</v>
      </c>
      <c r="B305" s="28" t="s">
        <v>774</v>
      </c>
      <c r="C305" s="10"/>
      <c r="D305" s="10"/>
      <c r="E305" s="10"/>
    </row>
    <row r="306" spans="1:5" ht="24.9" customHeight="1" x14ac:dyDescent="0.3">
      <c r="A306" s="25">
        <v>303</v>
      </c>
      <c r="B306" s="28" t="s">
        <v>24</v>
      </c>
      <c r="C306" s="10"/>
      <c r="D306" s="10"/>
      <c r="E306" s="10"/>
    </row>
    <row r="307" spans="1:5" ht="24.9" customHeight="1" x14ac:dyDescent="0.3">
      <c r="A307" s="25">
        <v>304</v>
      </c>
      <c r="B307" s="36" t="s">
        <v>233</v>
      </c>
      <c r="C307" s="10"/>
      <c r="D307" s="10"/>
      <c r="E307" s="10"/>
    </row>
    <row r="308" spans="1:5" ht="24.9" customHeight="1" x14ac:dyDescent="0.3">
      <c r="A308" s="25">
        <v>305</v>
      </c>
      <c r="B308" s="28" t="s">
        <v>40</v>
      </c>
      <c r="C308" s="10"/>
      <c r="D308" s="10"/>
      <c r="E308" s="10"/>
    </row>
    <row r="309" spans="1:5" ht="24.9" customHeight="1" x14ac:dyDescent="0.3">
      <c r="A309" s="25">
        <v>306</v>
      </c>
      <c r="B309" s="28" t="s">
        <v>1139</v>
      </c>
      <c r="C309" s="10"/>
      <c r="D309" s="10"/>
      <c r="E309" s="10"/>
    </row>
    <row r="310" spans="1:5" ht="24.9" customHeight="1" x14ac:dyDescent="0.3">
      <c r="A310" s="25">
        <v>307</v>
      </c>
      <c r="B310" s="28" t="s">
        <v>749</v>
      </c>
      <c r="C310" s="10"/>
      <c r="D310" s="10"/>
      <c r="E310" s="10"/>
    </row>
    <row r="311" spans="1:5" ht="24.9" customHeight="1" x14ac:dyDescent="0.3">
      <c r="A311" s="25">
        <v>308</v>
      </c>
      <c r="B311" s="28" t="s">
        <v>906</v>
      </c>
      <c r="C311" s="10"/>
      <c r="D311" s="10"/>
      <c r="E311" s="10"/>
    </row>
    <row r="312" spans="1:5" ht="24.9" customHeight="1" x14ac:dyDescent="0.3">
      <c r="A312" s="25">
        <v>309</v>
      </c>
      <c r="B312" s="28" t="s">
        <v>618</v>
      </c>
      <c r="C312" s="10"/>
      <c r="D312" s="10"/>
      <c r="E312" s="10"/>
    </row>
    <row r="313" spans="1:5" ht="24.9" customHeight="1" x14ac:dyDescent="0.3">
      <c r="A313" s="25">
        <v>310</v>
      </c>
      <c r="B313" s="28" t="s">
        <v>1104</v>
      </c>
      <c r="C313" s="10"/>
      <c r="D313" s="10"/>
      <c r="E313" s="10"/>
    </row>
    <row r="314" spans="1:5" ht="24.9" customHeight="1" x14ac:dyDescent="0.3">
      <c r="A314" s="25">
        <v>311</v>
      </c>
      <c r="B314" s="28" t="s">
        <v>762</v>
      </c>
      <c r="C314" s="10"/>
      <c r="D314" s="10"/>
      <c r="E314" s="10"/>
    </row>
    <row r="315" spans="1:5" ht="24.9" customHeight="1" x14ac:dyDescent="0.3">
      <c r="A315" s="25">
        <v>312</v>
      </c>
      <c r="B315" s="28" t="s">
        <v>680</v>
      </c>
      <c r="C315" s="10"/>
      <c r="D315" s="10"/>
      <c r="E315" s="10"/>
    </row>
    <row r="316" spans="1:5" ht="24.9" customHeight="1" x14ac:dyDescent="0.3">
      <c r="A316" s="25">
        <v>313</v>
      </c>
      <c r="B316" s="36" t="s">
        <v>247</v>
      </c>
      <c r="C316" s="10"/>
      <c r="D316" s="10"/>
      <c r="E316" s="10"/>
    </row>
    <row r="317" spans="1:5" ht="24.9" customHeight="1" x14ac:dyDescent="0.3">
      <c r="A317" s="25">
        <v>314</v>
      </c>
      <c r="B317" s="28" t="s">
        <v>25</v>
      </c>
      <c r="C317" s="10"/>
      <c r="D317" s="10"/>
      <c r="E317" s="10"/>
    </row>
    <row r="318" spans="1:5" ht="24.9" customHeight="1" x14ac:dyDescent="0.3">
      <c r="A318" s="25">
        <v>315</v>
      </c>
      <c r="B318" s="28" t="s">
        <v>41</v>
      </c>
      <c r="C318" s="10"/>
      <c r="D318" s="10"/>
      <c r="E318" s="10"/>
    </row>
    <row r="319" spans="1:5" ht="24.9" customHeight="1" x14ac:dyDescent="0.3">
      <c r="A319" s="25">
        <v>316</v>
      </c>
      <c r="B319" s="36" t="s">
        <v>1088</v>
      </c>
      <c r="C319" s="10"/>
      <c r="D319" s="10"/>
      <c r="E319" s="10"/>
    </row>
    <row r="320" spans="1:5" ht="24.9" customHeight="1" x14ac:dyDescent="0.3">
      <c r="A320" s="25">
        <v>317</v>
      </c>
      <c r="B320" s="28" t="s">
        <v>669</v>
      </c>
      <c r="C320" s="10"/>
      <c r="D320" s="10"/>
      <c r="E320" s="10"/>
    </row>
    <row r="321" spans="1:5" ht="24.9" customHeight="1" x14ac:dyDescent="0.3">
      <c r="A321" s="25">
        <v>318</v>
      </c>
      <c r="B321" s="28" t="s">
        <v>365</v>
      </c>
      <c r="C321" s="10"/>
      <c r="D321" s="10"/>
      <c r="E321" s="10"/>
    </row>
    <row r="322" spans="1:5" ht="24.9" customHeight="1" x14ac:dyDescent="0.3">
      <c r="A322" s="25">
        <v>319</v>
      </c>
      <c r="B322" s="28" t="s">
        <v>1122</v>
      </c>
      <c r="C322" s="10"/>
      <c r="D322" s="10"/>
      <c r="E322" s="10"/>
    </row>
    <row r="323" spans="1:5" ht="24.9" customHeight="1" x14ac:dyDescent="0.3">
      <c r="A323" s="25">
        <v>320</v>
      </c>
      <c r="B323" s="28" t="s">
        <v>424</v>
      </c>
      <c r="C323" s="10"/>
      <c r="D323" s="10"/>
      <c r="E323" s="10"/>
    </row>
    <row r="324" spans="1:5" ht="24.9" customHeight="1" x14ac:dyDescent="0.3">
      <c r="A324" s="25">
        <v>321</v>
      </c>
      <c r="B324" s="28" t="s">
        <v>8</v>
      </c>
      <c r="C324" s="10"/>
      <c r="D324" s="10"/>
      <c r="E324" s="10"/>
    </row>
    <row r="325" spans="1:5" ht="24.9" customHeight="1" x14ac:dyDescent="0.3">
      <c r="A325" s="25">
        <v>322</v>
      </c>
      <c r="B325" s="36" t="s">
        <v>286</v>
      </c>
      <c r="C325" s="10"/>
      <c r="D325" s="10"/>
      <c r="E325" s="10"/>
    </row>
    <row r="326" spans="1:5" ht="24.9" customHeight="1" x14ac:dyDescent="0.3">
      <c r="A326" s="25">
        <v>323</v>
      </c>
      <c r="B326" s="28" t="s">
        <v>1005</v>
      </c>
      <c r="C326" s="10"/>
      <c r="D326" s="10"/>
      <c r="E326" s="10"/>
    </row>
    <row r="327" spans="1:5" ht="24.9" customHeight="1" x14ac:dyDescent="0.3">
      <c r="A327" s="25">
        <v>324</v>
      </c>
      <c r="B327" s="36" t="s">
        <v>983</v>
      </c>
      <c r="C327" s="10"/>
      <c r="D327" s="10"/>
      <c r="E327" s="10"/>
    </row>
    <row r="328" spans="1:5" ht="24.9" customHeight="1" x14ac:dyDescent="0.3">
      <c r="A328" s="25">
        <v>325</v>
      </c>
      <c r="B328" s="36" t="s">
        <v>220</v>
      </c>
      <c r="C328" s="10"/>
      <c r="D328" s="10"/>
      <c r="E328" s="10"/>
    </row>
    <row r="329" spans="1:5" ht="24.9" customHeight="1" x14ac:dyDescent="0.3">
      <c r="A329" s="25">
        <v>326</v>
      </c>
      <c r="B329" s="36" t="s">
        <v>592</v>
      </c>
      <c r="C329" s="10"/>
      <c r="D329" s="10"/>
      <c r="E329" s="10"/>
    </row>
    <row r="330" spans="1:5" ht="24.9" customHeight="1" x14ac:dyDescent="0.3">
      <c r="A330" s="25">
        <v>327</v>
      </c>
      <c r="B330" s="28" t="s">
        <v>66</v>
      </c>
      <c r="C330" s="10"/>
      <c r="D330" s="10"/>
      <c r="E330" s="10"/>
    </row>
    <row r="331" spans="1:5" ht="24.9" customHeight="1" x14ac:dyDescent="0.3">
      <c r="A331" s="25">
        <v>328</v>
      </c>
      <c r="B331" s="28" t="s">
        <v>977</v>
      </c>
      <c r="C331" s="10"/>
      <c r="D331" s="10"/>
      <c r="E331" s="10"/>
    </row>
    <row r="332" spans="1:5" ht="24.9" customHeight="1" x14ac:dyDescent="0.3">
      <c r="A332" s="25">
        <v>329</v>
      </c>
      <c r="B332" s="28" t="s">
        <v>645</v>
      </c>
      <c r="C332" s="10"/>
      <c r="D332" s="10"/>
      <c r="E332" s="10"/>
    </row>
    <row r="333" spans="1:5" ht="24.9" customHeight="1" x14ac:dyDescent="0.3">
      <c r="A333" s="25">
        <v>330</v>
      </c>
      <c r="B333" s="36" t="s">
        <v>123</v>
      </c>
      <c r="C333" s="10"/>
      <c r="D333" s="10"/>
      <c r="E333" s="10"/>
    </row>
    <row r="334" spans="1:5" ht="24.9" customHeight="1" x14ac:dyDescent="0.3">
      <c r="A334" s="25">
        <v>331</v>
      </c>
      <c r="B334" s="54" t="s">
        <v>1208</v>
      </c>
      <c r="C334" s="10"/>
      <c r="D334" s="10"/>
      <c r="E334" s="10"/>
    </row>
    <row r="335" spans="1:5" ht="24.9" customHeight="1" x14ac:dyDescent="0.3">
      <c r="A335" s="25">
        <v>332</v>
      </c>
      <c r="B335" s="28" t="s">
        <v>741</v>
      </c>
      <c r="C335" s="10"/>
      <c r="D335" s="10"/>
      <c r="E335" s="10"/>
    </row>
    <row r="336" spans="1:5" ht="24.9" customHeight="1" x14ac:dyDescent="0.3">
      <c r="A336" s="25">
        <v>333</v>
      </c>
      <c r="B336" s="36" t="s">
        <v>1133</v>
      </c>
      <c r="C336" s="10"/>
      <c r="D336" s="10"/>
      <c r="E336" s="10"/>
    </row>
    <row r="337" spans="1:5" ht="24.9" customHeight="1" x14ac:dyDescent="0.3">
      <c r="A337" s="25">
        <v>334</v>
      </c>
      <c r="B337" s="36" t="s">
        <v>291</v>
      </c>
      <c r="C337" s="10"/>
      <c r="D337" s="10"/>
      <c r="E337" s="10"/>
    </row>
    <row r="338" spans="1:5" ht="24.9" customHeight="1" x14ac:dyDescent="0.3">
      <c r="A338" s="25">
        <v>335</v>
      </c>
      <c r="B338" s="28" t="s">
        <v>9</v>
      </c>
      <c r="C338" s="10"/>
      <c r="D338" s="10"/>
      <c r="E338" s="10"/>
    </row>
    <row r="339" spans="1:5" ht="24.9" customHeight="1" x14ac:dyDescent="0.3">
      <c r="A339" s="25">
        <v>336</v>
      </c>
      <c r="B339" s="36" t="s">
        <v>329</v>
      </c>
      <c r="C339" s="10"/>
      <c r="D339" s="10"/>
      <c r="E339" s="10"/>
    </row>
    <row r="340" spans="1:5" ht="24.9" customHeight="1" x14ac:dyDescent="0.3">
      <c r="A340" s="25">
        <v>337</v>
      </c>
      <c r="B340" s="28" t="s">
        <v>463</v>
      </c>
      <c r="C340" s="10"/>
      <c r="D340" s="10"/>
      <c r="E340" s="10"/>
    </row>
    <row r="341" spans="1:5" ht="24.9" customHeight="1" x14ac:dyDescent="0.3">
      <c r="A341" s="25">
        <v>338</v>
      </c>
      <c r="B341" s="28" t="s">
        <v>10</v>
      </c>
      <c r="C341" s="10"/>
      <c r="D341" s="10"/>
      <c r="E341" s="10"/>
    </row>
    <row r="342" spans="1:5" ht="24.9" customHeight="1" x14ac:dyDescent="0.3">
      <c r="A342" s="25">
        <v>339</v>
      </c>
      <c r="B342" s="28" t="s">
        <v>642</v>
      </c>
      <c r="C342" s="10"/>
      <c r="D342" s="10"/>
      <c r="E342" s="10"/>
    </row>
    <row r="343" spans="1:5" ht="24.9" customHeight="1" x14ac:dyDescent="0.3">
      <c r="A343" s="25">
        <v>340</v>
      </c>
      <c r="B343" s="36" t="s">
        <v>1204</v>
      </c>
      <c r="C343" s="10"/>
      <c r="D343" s="10"/>
      <c r="E343" s="10"/>
    </row>
    <row r="344" spans="1:5" ht="24.9" customHeight="1" x14ac:dyDescent="0.3">
      <c r="A344" s="25">
        <v>341</v>
      </c>
      <c r="B344" s="28" t="s">
        <v>924</v>
      </c>
      <c r="C344" s="10"/>
      <c r="D344" s="10"/>
      <c r="E344" s="10"/>
    </row>
    <row r="345" spans="1:5" ht="24.9" customHeight="1" x14ac:dyDescent="0.3">
      <c r="A345" s="25">
        <v>342</v>
      </c>
      <c r="B345" s="36" t="s">
        <v>517</v>
      </c>
      <c r="C345" s="10"/>
      <c r="D345" s="10"/>
      <c r="E345" s="10"/>
    </row>
    <row r="346" spans="1:5" ht="24.9" customHeight="1" x14ac:dyDescent="0.3">
      <c r="A346" s="25">
        <v>343</v>
      </c>
      <c r="B346" s="28" t="s">
        <v>90</v>
      </c>
      <c r="C346" s="10"/>
      <c r="D346" s="10"/>
      <c r="E346" s="10"/>
    </row>
    <row r="347" spans="1:5" ht="24.9" customHeight="1" x14ac:dyDescent="0.3">
      <c r="A347" s="25">
        <v>344</v>
      </c>
      <c r="B347" s="28" t="s">
        <v>941</v>
      </c>
      <c r="C347" s="10"/>
      <c r="D347" s="10"/>
      <c r="E347" s="10"/>
    </row>
    <row r="348" spans="1:5" ht="24.9" customHeight="1" x14ac:dyDescent="0.3">
      <c r="A348" s="25">
        <v>345</v>
      </c>
      <c r="B348" s="36" t="s">
        <v>1136</v>
      </c>
      <c r="C348" s="10"/>
      <c r="D348" s="10"/>
      <c r="E348" s="10"/>
    </row>
    <row r="349" spans="1:5" ht="24.9" customHeight="1" x14ac:dyDescent="0.3">
      <c r="A349" s="25">
        <v>346</v>
      </c>
      <c r="B349" s="28" t="s">
        <v>446</v>
      </c>
      <c r="C349" s="10"/>
      <c r="D349" s="10"/>
      <c r="E349" s="10"/>
    </row>
    <row r="350" spans="1:5" ht="24.9" customHeight="1" x14ac:dyDescent="0.3">
      <c r="A350" s="25">
        <v>347</v>
      </c>
      <c r="B350" s="28" t="s">
        <v>42</v>
      </c>
      <c r="C350" s="10"/>
      <c r="D350" s="10"/>
      <c r="E350" s="10"/>
    </row>
    <row r="351" spans="1:5" ht="24.9" customHeight="1" x14ac:dyDescent="0.3">
      <c r="A351" s="25">
        <v>348</v>
      </c>
      <c r="B351" s="28" t="s">
        <v>11</v>
      </c>
      <c r="C351" s="10"/>
      <c r="D351" s="10"/>
      <c r="E351" s="10"/>
    </row>
    <row r="352" spans="1:5" ht="24.9" customHeight="1" x14ac:dyDescent="0.3">
      <c r="A352" s="25">
        <v>349</v>
      </c>
      <c r="B352" s="28" t="s">
        <v>768</v>
      </c>
      <c r="C352" s="10"/>
      <c r="D352" s="10"/>
      <c r="E352" s="10"/>
    </row>
    <row r="353" spans="1:5" ht="24.9" customHeight="1" x14ac:dyDescent="0.3">
      <c r="A353" s="25">
        <v>350</v>
      </c>
      <c r="B353" s="36" t="s">
        <v>1212</v>
      </c>
      <c r="C353" s="10"/>
      <c r="D353" s="10"/>
      <c r="E353" s="10"/>
    </row>
    <row r="354" spans="1:5" ht="24.9" customHeight="1" x14ac:dyDescent="0.3">
      <c r="A354" s="25">
        <v>351</v>
      </c>
      <c r="B354" s="36" t="s">
        <v>294</v>
      </c>
      <c r="C354" s="10"/>
      <c r="D354" s="10"/>
      <c r="E354" s="10"/>
    </row>
    <row r="355" spans="1:5" ht="24.9" customHeight="1" x14ac:dyDescent="0.3">
      <c r="A355" s="25">
        <v>352</v>
      </c>
      <c r="B355" s="28" t="s">
        <v>564</v>
      </c>
      <c r="C355" s="10"/>
      <c r="D355" s="10"/>
      <c r="E355" s="10"/>
    </row>
    <row r="356" spans="1:5" ht="24.9" customHeight="1" x14ac:dyDescent="0.3">
      <c r="A356" s="25">
        <v>353</v>
      </c>
      <c r="B356" s="36" t="s">
        <v>1167</v>
      </c>
      <c r="C356" s="10"/>
      <c r="D356" s="10"/>
      <c r="E356" s="10"/>
    </row>
    <row r="357" spans="1:5" ht="24.9" customHeight="1" x14ac:dyDescent="0.3">
      <c r="A357" s="25">
        <v>354</v>
      </c>
      <c r="B357" s="36" t="s">
        <v>961</v>
      </c>
      <c r="C357" s="10"/>
      <c r="D357" s="10"/>
      <c r="E357" s="10"/>
    </row>
    <row r="358" spans="1:5" ht="24.9" customHeight="1" x14ac:dyDescent="0.3">
      <c r="A358" s="25">
        <v>355</v>
      </c>
      <c r="B358" s="28" t="s">
        <v>104</v>
      </c>
      <c r="C358" s="10"/>
      <c r="D358" s="10"/>
      <c r="E358" s="10"/>
    </row>
    <row r="359" spans="1:5" ht="24.9" customHeight="1" x14ac:dyDescent="0.3">
      <c r="A359" s="25">
        <v>356</v>
      </c>
      <c r="B359" s="28" t="s">
        <v>26</v>
      </c>
      <c r="C359" s="10"/>
      <c r="D359" s="10"/>
      <c r="E359" s="10"/>
    </row>
    <row r="360" spans="1:5" ht="24.9" customHeight="1" x14ac:dyDescent="0.3">
      <c r="A360" s="25">
        <v>357</v>
      </c>
      <c r="B360" s="36" t="s">
        <v>1035</v>
      </c>
      <c r="C360" s="10"/>
      <c r="D360" s="10"/>
      <c r="E360" s="10"/>
    </row>
    <row r="361" spans="1:5" ht="24.9" customHeight="1" x14ac:dyDescent="0.3">
      <c r="A361" s="25">
        <v>358</v>
      </c>
      <c r="B361" s="36" t="s">
        <v>1201</v>
      </c>
      <c r="C361" s="10"/>
      <c r="D361" s="10"/>
      <c r="E361" s="10"/>
    </row>
    <row r="362" spans="1:5" ht="24.9" customHeight="1" x14ac:dyDescent="0.3">
      <c r="A362" s="25">
        <v>359</v>
      </c>
      <c r="B362" s="28" t="s">
        <v>657</v>
      </c>
      <c r="C362" s="10"/>
      <c r="D362" s="10"/>
      <c r="E362" s="10"/>
    </row>
    <row r="363" spans="1:5" ht="24.9" customHeight="1" x14ac:dyDescent="0.3">
      <c r="A363" s="25">
        <v>360</v>
      </c>
      <c r="B363" s="36" t="s">
        <v>1061</v>
      </c>
      <c r="C363" s="10"/>
      <c r="D363" s="10"/>
      <c r="E363" s="10"/>
    </row>
    <row r="364" spans="1:5" ht="24.9" customHeight="1" x14ac:dyDescent="0.3">
      <c r="A364" s="25">
        <v>361</v>
      </c>
      <c r="B364" s="28" t="s">
        <v>128</v>
      </c>
      <c r="C364" s="10"/>
      <c r="D364" s="10"/>
      <c r="E364" s="10"/>
    </row>
    <row r="365" spans="1:5" ht="24.9" customHeight="1" x14ac:dyDescent="0.3">
      <c r="A365" s="25">
        <v>362</v>
      </c>
      <c r="B365" s="28" t="s">
        <v>836</v>
      </c>
      <c r="C365" s="10"/>
      <c r="D365" s="10"/>
      <c r="E365" s="10"/>
    </row>
    <row r="366" spans="1:5" ht="24.9" customHeight="1" x14ac:dyDescent="0.3">
      <c r="A366" s="25">
        <v>363</v>
      </c>
      <c r="B366" s="28" t="s">
        <v>473</v>
      </c>
      <c r="C366" s="10"/>
      <c r="D366" s="10"/>
      <c r="E366" s="10"/>
    </row>
    <row r="367" spans="1:5" ht="24.9" customHeight="1" x14ac:dyDescent="0.3">
      <c r="A367" s="25">
        <v>364</v>
      </c>
      <c r="B367" s="28" t="s">
        <v>124</v>
      </c>
      <c r="C367" s="10"/>
      <c r="D367" s="10"/>
      <c r="E367" s="10"/>
    </row>
    <row r="368" spans="1:5" ht="24.9" customHeight="1" x14ac:dyDescent="0.3">
      <c r="A368" s="25">
        <v>365</v>
      </c>
      <c r="B368" s="28" t="s">
        <v>27</v>
      </c>
      <c r="C368" s="10"/>
      <c r="D368" s="10"/>
      <c r="E368" s="10"/>
    </row>
    <row r="369" spans="1:5" ht="24.9" customHeight="1" x14ac:dyDescent="0.3">
      <c r="A369" s="25">
        <v>366</v>
      </c>
      <c r="B369" s="28" t="s">
        <v>803</v>
      </c>
      <c r="C369" s="10"/>
      <c r="D369" s="10"/>
      <c r="E369" s="10"/>
    </row>
    <row r="370" spans="1:5" ht="24.9" customHeight="1" x14ac:dyDescent="0.3">
      <c r="A370" s="25">
        <v>367</v>
      </c>
      <c r="B370" s="36" t="s">
        <v>1070</v>
      </c>
      <c r="C370" s="10"/>
      <c r="D370" s="10"/>
      <c r="E370" s="10"/>
    </row>
    <row r="371" spans="1:5" ht="24.9" customHeight="1" x14ac:dyDescent="0.3">
      <c r="A371" s="25">
        <v>368</v>
      </c>
      <c r="B371" s="28" t="s">
        <v>91</v>
      </c>
      <c r="C371" s="10"/>
      <c r="D371" s="10"/>
      <c r="E371" s="10"/>
    </row>
    <row r="372" spans="1:5" ht="24.9" customHeight="1" x14ac:dyDescent="0.3">
      <c r="A372" s="25">
        <v>369</v>
      </c>
      <c r="B372" s="36" t="s">
        <v>601</v>
      </c>
      <c r="C372" s="10"/>
      <c r="D372" s="10"/>
      <c r="E372" s="10"/>
    </row>
    <row r="373" spans="1:5" ht="24.9" customHeight="1" x14ac:dyDescent="0.3">
      <c r="A373" s="25">
        <v>370</v>
      </c>
      <c r="B373" s="36" t="s">
        <v>1238</v>
      </c>
      <c r="C373" s="10"/>
      <c r="D373" s="10"/>
      <c r="E373" s="10"/>
    </row>
    <row r="374" spans="1:5" ht="24.9" customHeight="1" x14ac:dyDescent="0.3">
      <c r="A374" s="25">
        <v>371</v>
      </c>
      <c r="B374" s="36" t="s">
        <v>1243</v>
      </c>
      <c r="C374" s="10"/>
      <c r="D374" s="10"/>
      <c r="E374" s="10"/>
    </row>
    <row r="375" spans="1:5" ht="24.9" customHeight="1" x14ac:dyDescent="0.3">
      <c r="A375" s="25">
        <v>372</v>
      </c>
      <c r="B375" s="36"/>
      <c r="C375" s="10"/>
      <c r="D375" s="10"/>
      <c r="E375" s="10"/>
    </row>
    <row r="376" spans="1:5" ht="24.9" customHeight="1" x14ac:dyDescent="0.3">
      <c r="A376" s="25">
        <v>373</v>
      </c>
      <c r="B376" s="36"/>
      <c r="C376" s="10"/>
      <c r="D376" s="10"/>
      <c r="E376" s="10"/>
    </row>
    <row r="377" spans="1:5" ht="24.9" customHeight="1" x14ac:dyDescent="0.3">
      <c r="A377" s="25">
        <v>374</v>
      </c>
      <c r="B377" s="36"/>
      <c r="C377" s="10"/>
      <c r="D377" s="10"/>
      <c r="E377" s="10"/>
    </row>
    <row r="378" spans="1:5" ht="24.9" customHeight="1" x14ac:dyDescent="0.3">
      <c r="A378" s="25">
        <v>375</v>
      </c>
      <c r="B378" s="36"/>
      <c r="C378" s="10"/>
      <c r="D378" s="10"/>
      <c r="E378" s="10"/>
    </row>
    <row r="379" spans="1:5" ht="24.9" customHeight="1" x14ac:dyDescent="0.3">
      <c r="A379" s="25">
        <v>376</v>
      </c>
      <c r="B379" s="36"/>
      <c r="C379" s="10"/>
      <c r="D379" s="10"/>
      <c r="E379" s="10"/>
    </row>
    <row r="380" spans="1:5" ht="24.9" customHeight="1" x14ac:dyDescent="0.3">
      <c r="A380" s="25">
        <v>377</v>
      </c>
      <c r="B380" s="36"/>
      <c r="C380" s="10"/>
      <c r="D380" s="10"/>
      <c r="E380" s="10"/>
    </row>
    <row r="381" spans="1:5" ht="24.9" customHeight="1" x14ac:dyDescent="0.3">
      <c r="A381" s="25">
        <v>378</v>
      </c>
      <c r="B381" s="36"/>
      <c r="C381" s="10"/>
      <c r="D381" s="10"/>
      <c r="E381" s="10"/>
    </row>
    <row r="382" spans="1:5" ht="24.9" customHeight="1" x14ac:dyDescent="0.3">
      <c r="A382" s="25">
        <v>379</v>
      </c>
      <c r="B382" s="36"/>
      <c r="C382" s="10"/>
      <c r="D382" s="10"/>
      <c r="E382" s="10"/>
    </row>
    <row r="383" spans="1:5" ht="24.9" customHeight="1" x14ac:dyDescent="0.3">
      <c r="A383" s="25">
        <v>380</v>
      </c>
      <c r="B383" s="36"/>
      <c r="C383" s="10"/>
      <c r="D383" s="10"/>
      <c r="E383" s="10"/>
    </row>
    <row r="384" spans="1:5" ht="24.9" customHeight="1" x14ac:dyDescent="0.3">
      <c r="A384" s="25">
        <v>381</v>
      </c>
      <c r="B384" s="36"/>
      <c r="C384" s="10"/>
      <c r="D384" s="10"/>
      <c r="E384" s="10"/>
    </row>
    <row r="385" spans="1:5" ht="24.9" customHeight="1" x14ac:dyDescent="0.3">
      <c r="A385" s="25">
        <v>382</v>
      </c>
      <c r="B385" s="36"/>
      <c r="C385" s="10"/>
      <c r="D385" s="10"/>
      <c r="E385" s="10"/>
    </row>
    <row r="386" spans="1:5" ht="24.9" customHeight="1" x14ac:dyDescent="0.3">
      <c r="A386" s="25">
        <v>383</v>
      </c>
      <c r="B386" s="36"/>
      <c r="C386" s="10"/>
      <c r="D386" s="10"/>
      <c r="E386" s="10"/>
    </row>
    <row r="387" spans="1:5" ht="24.9" customHeight="1" x14ac:dyDescent="0.3">
      <c r="A387" s="25">
        <v>384</v>
      </c>
      <c r="B387" s="36"/>
      <c r="C387" s="10"/>
      <c r="D387" s="10"/>
      <c r="E387" s="10"/>
    </row>
    <row r="388" spans="1:5" ht="24.9" customHeight="1" x14ac:dyDescent="0.3">
      <c r="A388" s="25">
        <v>385</v>
      </c>
      <c r="B388" s="36"/>
      <c r="C388" s="10"/>
      <c r="D388" s="10"/>
      <c r="E388" s="10"/>
    </row>
    <row r="389" spans="1:5" ht="24.9" customHeight="1" x14ac:dyDescent="0.3">
      <c r="A389" s="25">
        <v>386</v>
      </c>
      <c r="B389" s="36"/>
      <c r="C389" s="10"/>
      <c r="D389" s="10"/>
      <c r="E389" s="10"/>
    </row>
    <row r="390" spans="1:5" ht="24.9" customHeight="1" x14ac:dyDescent="0.3">
      <c r="A390" s="25">
        <v>387</v>
      </c>
      <c r="B390" s="36"/>
      <c r="C390" s="10"/>
      <c r="D390" s="10"/>
      <c r="E390" s="10"/>
    </row>
    <row r="391" spans="1:5" ht="24.9" customHeight="1" x14ac:dyDescent="0.3">
      <c r="A391" s="25">
        <v>388</v>
      </c>
      <c r="B391" s="36"/>
      <c r="C391" s="10"/>
      <c r="D391" s="10"/>
      <c r="E391" s="10"/>
    </row>
    <row r="392" spans="1:5" ht="24.9" customHeight="1" x14ac:dyDescent="0.3">
      <c r="A392" s="25">
        <v>389</v>
      </c>
      <c r="B392" s="36"/>
      <c r="C392" s="10"/>
      <c r="D392" s="10"/>
      <c r="E392" s="10"/>
    </row>
    <row r="393" spans="1:5" ht="24.9" customHeight="1" x14ac:dyDescent="0.3">
      <c r="A393" s="25">
        <v>390</v>
      </c>
      <c r="B393" s="36"/>
      <c r="C393" s="10"/>
      <c r="D393" s="10"/>
      <c r="E393" s="10"/>
    </row>
    <row r="394" spans="1:5" ht="24.9" customHeight="1" x14ac:dyDescent="0.3">
      <c r="A394" s="25">
        <v>391</v>
      </c>
      <c r="B394" s="36"/>
      <c r="C394" s="10"/>
      <c r="D394" s="10"/>
      <c r="E394" s="10"/>
    </row>
    <row r="395" spans="1:5" ht="24.9" customHeight="1" x14ac:dyDescent="0.3">
      <c r="A395" s="25">
        <v>392</v>
      </c>
      <c r="B395" s="36"/>
      <c r="C395" s="10"/>
      <c r="D395" s="10"/>
      <c r="E395" s="10"/>
    </row>
    <row r="396" spans="1:5" ht="24.9" customHeight="1" x14ac:dyDescent="0.3">
      <c r="A396" s="25">
        <v>393</v>
      </c>
      <c r="B396" s="36"/>
      <c r="C396" s="10"/>
      <c r="D396" s="10"/>
      <c r="E396" s="10"/>
    </row>
    <row r="397" spans="1:5" ht="24.9" customHeight="1" x14ac:dyDescent="0.3">
      <c r="A397" s="25">
        <v>394</v>
      </c>
      <c r="B397" s="36"/>
      <c r="C397" s="10"/>
      <c r="D397" s="10"/>
      <c r="E397" s="10"/>
    </row>
    <row r="398" spans="1:5" ht="24.9" customHeight="1" x14ac:dyDescent="0.3">
      <c r="A398" s="25">
        <v>395</v>
      </c>
      <c r="B398" s="36"/>
      <c r="C398" s="10"/>
      <c r="D398" s="10"/>
      <c r="E398" s="10"/>
    </row>
    <row r="399" spans="1:5" ht="24.9" customHeight="1" x14ac:dyDescent="0.3">
      <c r="A399" s="25">
        <v>396</v>
      </c>
      <c r="B399" s="36"/>
      <c r="C399" s="10"/>
      <c r="D399" s="10"/>
      <c r="E399" s="10"/>
    </row>
    <row r="400" spans="1:5" ht="24.9" customHeight="1" x14ac:dyDescent="0.3">
      <c r="A400" s="25">
        <v>397</v>
      </c>
      <c r="B400" s="36"/>
      <c r="C400" s="10"/>
      <c r="D400" s="10"/>
      <c r="E400" s="10"/>
    </row>
    <row r="401" spans="1:5" ht="24.9" customHeight="1" x14ac:dyDescent="0.3">
      <c r="A401" s="25">
        <v>398</v>
      </c>
      <c r="B401" s="36"/>
      <c r="C401" s="10"/>
      <c r="D401" s="10"/>
      <c r="E401" s="10"/>
    </row>
    <row r="402" spans="1:5" ht="24.9" customHeight="1" x14ac:dyDescent="0.3">
      <c r="A402" s="25">
        <v>399</v>
      </c>
      <c r="B402" s="36"/>
      <c r="C402" s="10"/>
      <c r="D402" s="10"/>
      <c r="E402" s="10"/>
    </row>
    <row r="403" spans="1:5" ht="24.9" customHeight="1" x14ac:dyDescent="0.3">
      <c r="A403" s="25">
        <v>400</v>
      </c>
      <c r="B403" s="36"/>
      <c r="C403" s="10"/>
      <c r="D403" s="10"/>
      <c r="E403" s="10"/>
    </row>
    <row r="404" spans="1:5" ht="24.9" customHeight="1" x14ac:dyDescent="0.3">
      <c r="A404" s="25">
        <v>401</v>
      </c>
      <c r="B404" s="36"/>
      <c r="C404" s="10"/>
      <c r="D404" s="10"/>
      <c r="E404" s="10"/>
    </row>
    <row r="405" spans="1:5" ht="24.9" customHeight="1" x14ac:dyDescent="0.3">
      <c r="A405" s="25">
        <v>402</v>
      </c>
      <c r="B405" s="36"/>
      <c r="C405" s="10"/>
      <c r="D405" s="10"/>
      <c r="E405" s="10"/>
    </row>
    <row r="406" spans="1:5" ht="24.9" customHeight="1" x14ac:dyDescent="0.3">
      <c r="A406" s="25">
        <v>403</v>
      </c>
      <c r="B406" s="36"/>
      <c r="C406" s="10"/>
      <c r="D406" s="10"/>
      <c r="E406" s="10"/>
    </row>
    <row r="407" spans="1:5" ht="24.9" customHeight="1" x14ac:dyDescent="0.3">
      <c r="A407" s="25">
        <v>404</v>
      </c>
      <c r="B407" s="36"/>
      <c r="C407" s="10"/>
      <c r="D407" s="10"/>
      <c r="E407" s="10"/>
    </row>
    <row r="408" spans="1:5" ht="24.9" customHeight="1" x14ac:dyDescent="0.3">
      <c r="A408" s="25">
        <v>405</v>
      </c>
      <c r="B408" s="36"/>
      <c r="C408" s="10"/>
      <c r="D408" s="10"/>
      <c r="E408" s="10"/>
    </row>
    <row r="409" spans="1:5" ht="24.9" customHeight="1" x14ac:dyDescent="0.3">
      <c r="A409" s="25">
        <v>406</v>
      </c>
      <c r="B409" s="36"/>
      <c r="C409" s="10"/>
      <c r="D409" s="10"/>
      <c r="E409" s="10"/>
    </row>
    <row r="410" spans="1:5" ht="24.9" customHeight="1" x14ac:dyDescent="0.3">
      <c r="A410" s="25">
        <v>407</v>
      </c>
      <c r="B410" s="36"/>
      <c r="C410" s="10"/>
      <c r="D410" s="10"/>
      <c r="E410" s="10"/>
    </row>
    <row r="411" spans="1:5" ht="24.9" customHeight="1" x14ac:dyDescent="0.3">
      <c r="A411" s="25">
        <v>408</v>
      </c>
      <c r="B411" s="36"/>
      <c r="C411" s="10"/>
      <c r="D411" s="10"/>
      <c r="E411" s="10"/>
    </row>
    <row r="412" spans="1:5" ht="24.9" customHeight="1" x14ac:dyDescent="0.3">
      <c r="A412" s="25">
        <v>409</v>
      </c>
      <c r="B412" s="36"/>
      <c r="C412" s="10"/>
      <c r="D412" s="10"/>
      <c r="E412" s="10"/>
    </row>
    <row r="413" spans="1:5" ht="24.9" customHeight="1" x14ac:dyDescent="0.3">
      <c r="A413" s="25">
        <v>410</v>
      </c>
      <c r="B413" s="36"/>
      <c r="C413" s="10"/>
      <c r="D413" s="10"/>
      <c r="E413" s="10"/>
    </row>
    <row r="414" spans="1:5" ht="24.9" customHeight="1" x14ac:dyDescent="0.3">
      <c r="A414" s="25">
        <v>411</v>
      </c>
      <c r="B414" s="36"/>
      <c r="C414" s="10"/>
      <c r="D414" s="10"/>
      <c r="E414" s="10"/>
    </row>
    <row r="415" spans="1:5" ht="24.9" customHeight="1" x14ac:dyDescent="0.3">
      <c r="A415" s="25">
        <v>412</v>
      </c>
      <c r="B415" s="36"/>
      <c r="C415" s="10"/>
      <c r="D415" s="10"/>
      <c r="E415" s="10"/>
    </row>
    <row r="416" spans="1:5" ht="24.9" customHeight="1" x14ac:dyDescent="0.3">
      <c r="A416" s="25">
        <v>413</v>
      </c>
      <c r="B416" s="36"/>
      <c r="C416" s="10"/>
      <c r="D416" s="10"/>
      <c r="E416" s="10"/>
    </row>
    <row r="417" spans="1:5" ht="24.9" customHeight="1" x14ac:dyDescent="0.3">
      <c r="A417" s="25">
        <v>414</v>
      </c>
      <c r="B417" s="36"/>
      <c r="C417" s="10"/>
      <c r="D417" s="10"/>
      <c r="E417" s="10"/>
    </row>
    <row r="418" spans="1:5" ht="24.9" customHeight="1" x14ac:dyDescent="0.3">
      <c r="A418" s="25">
        <v>415</v>
      </c>
      <c r="B418" s="36"/>
      <c r="C418" s="10"/>
      <c r="D418" s="10"/>
      <c r="E418" s="10"/>
    </row>
    <row r="419" spans="1:5" ht="24.9" customHeight="1" x14ac:dyDescent="0.3">
      <c r="A419" s="25">
        <v>416</v>
      </c>
      <c r="B419" s="36"/>
      <c r="C419" s="10"/>
      <c r="D419" s="10"/>
      <c r="E419" s="10"/>
    </row>
    <row r="420" spans="1:5" ht="24.9" customHeight="1" x14ac:dyDescent="0.3">
      <c r="A420" s="25">
        <v>417</v>
      </c>
      <c r="B420" s="36"/>
      <c r="C420" s="10"/>
      <c r="D420" s="10"/>
      <c r="E420" s="10"/>
    </row>
    <row r="421" spans="1:5" ht="24.9" customHeight="1" x14ac:dyDescent="0.3">
      <c r="A421" s="25">
        <v>418</v>
      </c>
      <c r="B421" s="36"/>
      <c r="C421" s="10"/>
      <c r="D421" s="10"/>
      <c r="E421" s="10"/>
    </row>
    <row r="422" spans="1:5" ht="24.9" customHeight="1" x14ac:dyDescent="0.3">
      <c r="A422" s="25">
        <v>419</v>
      </c>
      <c r="B422" s="36"/>
      <c r="C422" s="10"/>
      <c r="D422" s="10"/>
      <c r="E422" s="10"/>
    </row>
    <row r="423" spans="1:5" ht="24.9" customHeight="1" x14ac:dyDescent="0.3">
      <c r="A423" s="25">
        <v>420</v>
      </c>
      <c r="B423" s="36"/>
      <c r="C423" s="10"/>
      <c r="D423" s="10"/>
      <c r="E423" s="10"/>
    </row>
    <row r="424" spans="1:5" ht="24.9" customHeight="1" x14ac:dyDescent="0.3">
      <c r="A424" s="25">
        <v>421</v>
      </c>
      <c r="B424" s="36"/>
      <c r="C424" s="10"/>
      <c r="D424" s="10"/>
      <c r="E424" s="10"/>
    </row>
    <row r="425" spans="1:5" ht="24.9" customHeight="1" x14ac:dyDescent="0.3">
      <c r="A425" s="25">
        <v>422</v>
      </c>
      <c r="B425" s="36"/>
      <c r="C425" s="10"/>
      <c r="D425" s="10"/>
      <c r="E425" s="10"/>
    </row>
    <row r="426" spans="1:5" ht="24.9" customHeight="1" x14ac:dyDescent="0.3">
      <c r="A426" s="25">
        <v>423</v>
      </c>
      <c r="B426" s="36"/>
      <c r="C426" s="10"/>
      <c r="D426" s="10"/>
      <c r="E426" s="10"/>
    </row>
    <row r="427" spans="1:5" ht="24.9" customHeight="1" x14ac:dyDescent="0.3">
      <c r="A427" s="25">
        <v>424</v>
      </c>
      <c r="B427" s="36"/>
      <c r="C427" s="10"/>
      <c r="D427" s="10"/>
      <c r="E427" s="10"/>
    </row>
    <row r="428" spans="1:5" ht="24.9" customHeight="1" x14ac:dyDescent="0.3">
      <c r="A428" s="25">
        <v>425</v>
      </c>
      <c r="B428" s="36"/>
      <c r="C428" s="10"/>
      <c r="D428" s="10"/>
      <c r="E428" s="10"/>
    </row>
    <row r="429" spans="1:5" ht="24.9" customHeight="1" x14ac:dyDescent="0.3">
      <c r="A429" s="25">
        <v>426</v>
      </c>
      <c r="B429" s="36"/>
      <c r="C429" s="10"/>
      <c r="D429" s="10"/>
      <c r="E429" s="10"/>
    </row>
    <row r="430" spans="1:5" ht="24.9" customHeight="1" x14ac:dyDescent="0.3">
      <c r="A430" s="25">
        <v>427</v>
      </c>
      <c r="B430" s="36"/>
      <c r="C430" s="10"/>
      <c r="D430" s="10"/>
      <c r="E430" s="10"/>
    </row>
    <row r="431" spans="1:5" ht="24.9" customHeight="1" x14ac:dyDescent="0.3">
      <c r="A431" s="25">
        <v>428</v>
      </c>
      <c r="B431" s="36"/>
      <c r="C431" s="10"/>
      <c r="D431" s="10"/>
      <c r="E431" s="10"/>
    </row>
    <row r="432" spans="1:5" ht="24.9" customHeight="1" x14ac:dyDescent="0.3">
      <c r="A432" s="25">
        <v>429</v>
      </c>
      <c r="B432" s="36"/>
      <c r="C432" s="10"/>
      <c r="D432" s="10"/>
      <c r="E432" s="10"/>
    </row>
    <row r="433" spans="1:5" ht="24.9" customHeight="1" x14ac:dyDescent="0.3">
      <c r="A433" s="25">
        <v>430</v>
      </c>
      <c r="B433" s="36"/>
      <c r="C433" s="10"/>
      <c r="D433" s="10"/>
      <c r="E433" s="10"/>
    </row>
    <row r="434" spans="1:5" ht="24.9" customHeight="1" x14ac:dyDescent="0.3">
      <c r="A434" s="25">
        <v>431</v>
      </c>
      <c r="B434" s="36"/>
      <c r="C434" s="10"/>
      <c r="D434" s="10"/>
      <c r="E434" s="10"/>
    </row>
    <row r="435" spans="1:5" ht="24.9" customHeight="1" x14ac:dyDescent="0.3">
      <c r="A435" s="25">
        <v>432</v>
      </c>
      <c r="B435" s="36"/>
      <c r="C435" s="10"/>
      <c r="D435" s="10"/>
      <c r="E435" s="10"/>
    </row>
    <row r="436" spans="1:5" ht="24.9" customHeight="1" x14ac:dyDescent="0.3">
      <c r="A436" s="25">
        <v>433</v>
      </c>
      <c r="B436" s="36"/>
      <c r="C436" s="10"/>
      <c r="D436" s="10"/>
      <c r="E436" s="10"/>
    </row>
    <row r="437" spans="1:5" ht="24.9" customHeight="1" x14ac:dyDescent="0.3">
      <c r="A437" s="25">
        <v>434</v>
      </c>
      <c r="B437" s="36"/>
      <c r="C437" s="10"/>
      <c r="D437" s="10"/>
      <c r="E437" s="10"/>
    </row>
    <row r="438" spans="1:5" ht="24.9" customHeight="1" x14ac:dyDescent="0.3">
      <c r="A438" s="25">
        <v>435</v>
      </c>
      <c r="B438" s="36"/>
      <c r="C438" s="10"/>
      <c r="D438" s="10"/>
      <c r="E438" s="10"/>
    </row>
    <row r="439" spans="1:5" ht="24.9" customHeight="1" x14ac:dyDescent="0.3">
      <c r="A439" s="25">
        <v>436</v>
      </c>
      <c r="B439" s="36"/>
      <c r="C439" s="10"/>
      <c r="D439" s="10"/>
      <c r="E439" s="10"/>
    </row>
    <row r="440" spans="1:5" ht="24.9" customHeight="1" x14ac:dyDescent="0.3">
      <c r="A440" s="25">
        <v>437</v>
      </c>
      <c r="B440" s="36"/>
      <c r="C440" s="10"/>
      <c r="D440" s="10"/>
      <c r="E440" s="10"/>
    </row>
    <row r="441" spans="1:5" ht="24.9" customHeight="1" x14ac:dyDescent="0.3">
      <c r="A441" s="25">
        <v>438</v>
      </c>
      <c r="B441" s="36"/>
      <c r="C441" s="10"/>
      <c r="D441" s="10"/>
      <c r="E441" s="10"/>
    </row>
    <row r="442" spans="1:5" ht="24.9" customHeight="1" x14ac:dyDescent="0.3">
      <c r="A442" s="25">
        <v>439</v>
      </c>
      <c r="B442" s="36"/>
      <c r="C442" s="10"/>
      <c r="D442" s="10"/>
      <c r="E442" s="10"/>
    </row>
    <row r="443" spans="1:5" ht="24.9" customHeight="1" x14ac:dyDescent="0.3">
      <c r="A443" s="25">
        <v>440</v>
      </c>
      <c r="B443" s="36"/>
      <c r="C443" s="10"/>
      <c r="D443" s="10"/>
      <c r="E443" s="10"/>
    </row>
    <row r="444" spans="1:5" ht="24.9" customHeight="1" x14ac:dyDescent="0.3">
      <c r="A444" s="25">
        <v>441</v>
      </c>
      <c r="B444" s="36"/>
      <c r="C444" s="10"/>
      <c r="D444" s="10"/>
      <c r="E444" s="10"/>
    </row>
    <row r="445" spans="1:5" ht="24.9" customHeight="1" x14ac:dyDescent="0.3">
      <c r="A445" s="25">
        <v>442</v>
      </c>
      <c r="B445" s="36"/>
      <c r="C445" s="10"/>
      <c r="D445" s="10"/>
      <c r="E445" s="10"/>
    </row>
    <row r="446" spans="1:5" ht="24.9" customHeight="1" x14ac:dyDescent="0.3">
      <c r="A446" s="25">
        <v>443</v>
      </c>
      <c r="B446" s="36"/>
      <c r="C446" s="10"/>
      <c r="D446" s="10"/>
      <c r="E446" s="10"/>
    </row>
    <row r="447" spans="1:5" ht="24.9" customHeight="1" x14ac:dyDescent="0.3">
      <c r="A447" s="25">
        <v>444</v>
      </c>
      <c r="B447" s="36"/>
      <c r="C447" s="10"/>
      <c r="D447" s="10"/>
      <c r="E447" s="10"/>
    </row>
    <row r="448" spans="1:5" ht="24.9" customHeight="1" x14ac:dyDescent="0.3">
      <c r="A448" s="25">
        <v>445</v>
      </c>
      <c r="B448" s="36"/>
      <c r="C448" s="10"/>
      <c r="D448" s="10"/>
      <c r="E448" s="10"/>
    </row>
    <row r="449" spans="1:5" ht="24.9" customHeight="1" x14ac:dyDescent="0.3">
      <c r="A449" s="25">
        <v>446</v>
      </c>
      <c r="B449" s="36"/>
      <c r="C449" s="10"/>
      <c r="D449" s="10"/>
      <c r="E449" s="10"/>
    </row>
    <row r="450" spans="1:5" ht="24.9" customHeight="1" x14ac:dyDescent="0.3">
      <c r="A450" s="25">
        <v>447</v>
      </c>
      <c r="B450" s="36"/>
      <c r="C450" s="10"/>
      <c r="D450" s="10"/>
      <c r="E450" s="10"/>
    </row>
    <row r="451" spans="1:5" ht="24.9" customHeight="1" x14ac:dyDescent="0.3">
      <c r="A451" s="25">
        <v>448</v>
      </c>
      <c r="B451" s="36"/>
      <c r="C451" s="10"/>
      <c r="D451" s="10"/>
      <c r="E451" s="10"/>
    </row>
    <row r="452" spans="1:5" ht="24.9" customHeight="1" x14ac:dyDescent="0.3">
      <c r="A452" s="25">
        <v>449</v>
      </c>
      <c r="B452" s="36"/>
      <c r="C452" s="10"/>
      <c r="D452" s="10"/>
      <c r="E452" s="10"/>
    </row>
    <row r="453" spans="1:5" ht="24.9" customHeight="1" x14ac:dyDescent="0.3">
      <c r="A453" s="25">
        <v>450</v>
      </c>
      <c r="B453" s="36"/>
      <c r="C453" s="10"/>
      <c r="D453" s="10"/>
      <c r="E453" s="10"/>
    </row>
    <row r="454" spans="1:5" ht="24.9" customHeight="1" x14ac:dyDescent="0.3">
      <c r="A454" s="25">
        <v>451</v>
      </c>
      <c r="B454" s="36"/>
      <c r="C454" s="10"/>
      <c r="D454" s="10"/>
      <c r="E454" s="10"/>
    </row>
    <row r="455" spans="1:5" ht="24.9" customHeight="1" x14ac:dyDescent="0.3">
      <c r="A455" s="25">
        <v>452</v>
      </c>
      <c r="B455" s="36"/>
      <c r="C455" s="10"/>
      <c r="D455" s="10"/>
      <c r="E455" s="10"/>
    </row>
    <row r="456" spans="1:5" ht="24.9" customHeight="1" x14ac:dyDescent="0.3">
      <c r="A456" s="25">
        <v>453</v>
      </c>
      <c r="B456" s="36"/>
      <c r="C456" s="10"/>
      <c r="D456" s="10"/>
      <c r="E456" s="10"/>
    </row>
    <row r="457" spans="1:5" ht="24.9" customHeight="1" x14ac:dyDescent="0.3">
      <c r="A457" s="25">
        <v>454</v>
      </c>
      <c r="B457" s="36"/>
      <c r="C457" s="10"/>
      <c r="D457" s="10"/>
      <c r="E457" s="10"/>
    </row>
    <row r="458" spans="1:5" ht="24.9" customHeight="1" x14ac:dyDescent="0.3">
      <c r="A458" s="25">
        <v>455</v>
      </c>
      <c r="B458" s="36"/>
      <c r="C458" s="10"/>
      <c r="D458" s="10"/>
      <c r="E458" s="10"/>
    </row>
    <row r="459" spans="1:5" ht="24.9" customHeight="1" x14ac:dyDescent="0.3">
      <c r="A459" s="25">
        <v>456</v>
      </c>
      <c r="B459" s="36"/>
      <c r="C459" s="10"/>
      <c r="D459" s="10"/>
      <c r="E459" s="10"/>
    </row>
    <row r="460" spans="1:5" ht="24.9" customHeight="1" x14ac:dyDescent="0.3">
      <c r="A460" s="25">
        <v>457</v>
      </c>
      <c r="B460" s="36"/>
      <c r="C460" s="10"/>
      <c r="D460" s="10"/>
      <c r="E460" s="10"/>
    </row>
    <row r="461" spans="1:5" ht="24.9" customHeight="1" x14ac:dyDescent="0.3">
      <c r="A461" s="25">
        <v>458</v>
      </c>
      <c r="B461" s="36"/>
      <c r="C461" s="10"/>
      <c r="D461" s="10"/>
      <c r="E461" s="10"/>
    </row>
    <row r="462" spans="1:5" ht="24.9" customHeight="1" x14ac:dyDescent="0.3">
      <c r="A462" s="25">
        <v>459</v>
      </c>
      <c r="B462" s="36"/>
      <c r="C462" s="10"/>
      <c r="D462" s="10"/>
      <c r="E462" s="10"/>
    </row>
    <row r="463" spans="1:5" ht="24.9" customHeight="1" x14ac:dyDescent="0.3">
      <c r="A463" s="25">
        <v>460</v>
      </c>
      <c r="B463" s="36"/>
      <c r="C463" s="10"/>
      <c r="D463" s="10"/>
      <c r="E463" s="10"/>
    </row>
    <row r="464" spans="1:5" ht="24.9" customHeight="1" x14ac:dyDescent="0.3">
      <c r="A464" s="25">
        <v>461</v>
      </c>
      <c r="B464" s="36"/>
      <c r="C464" s="10"/>
      <c r="D464" s="10"/>
      <c r="E464" s="10"/>
    </row>
    <row r="465" spans="1:5" ht="24.9" customHeight="1" x14ac:dyDescent="0.3">
      <c r="A465" s="25">
        <v>462</v>
      </c>
      <c r="B465" s="36"/>
      <c r="C465" s="10"/>
      <c r="D465" s="10"/>
      <c r="E465" s="10"/>
    </row>
  </sheetData>
  <mergeCells count="2">
    <mergeCell ref="A1:E1"/>
    <mergeCell ref="A2:E2"/>
  </mergeCells>
  <pageMargins left="0.23622047244094491" right="0.23622047244094491" top="0.35433070866141736" bottom="0.35433070866141736" header="0.31496062992125984" footer="0.31496062992125984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083A4C-F7FA-493C-84D2-E68BF6A37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RECIBO INGRESOS</vt:lpstr>
      <vt:lpstr>FLUJO DE CAJA</vt:lpstr>
      <vt:lpstr>LISTAS</vt:lpstr>
      <vt:lpstr>tarj ANVERSO</vt:lpstr>
      <vt:lpstr>tarj REVERSO</vt:lpstr>
      <vt:lpstr>Códigos</vt:lpstr>
      <vt:lpstr>SUELDOS</vt:lpstr>
      <vt:lpstr>HOJA DE COBRO DEL SEGURO</vt:lpstr>
      <vt:lpstr>Códigos!Área_de_impresión</vt:lpstr>
      <vt:lpstr>'RECIBO INGRESOS'!Área_de_impresión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Rafael Antequera Caballero</cp:lastModifiedBy>
  <cp:lastPrinted>2024-01-18T15:52:06Z</cp:lastPrinted>
  <dcterms:created xsi:type="dcterms:W3CDTF">2018-08-16T13:31:16Z</dcterms:created>
  <dcterms:modified xsi:type="dcterms:W3CDTF">2024-01-18T16:01:31Z</dcterms:modified>
</cp:coreProperties>
</file>